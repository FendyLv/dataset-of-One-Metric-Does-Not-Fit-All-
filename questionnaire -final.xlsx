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 activeTab="1"/>
  </bookViews>
  <sheets>
    <sheet name="GPT" sheetId="1" r:id="rId1"/>
    <sheet name="Perplexity" sheetId="2" r:id="rId2"/>
    <sheet name="熟练度" sheetId="3" r:id="rId3"/>
    <sheet name="satisfa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<sst xmlns="http://schemas.openxmlformats.org/spreadsheetml/2006/main" count="1735" uniqueCount="379">
  <si>
    <t>前测问卷</t>
  </si>
  <si>
    <t>被试号</t>
  </si>
  <si>
    <t>所用时间</t>
  </si>
  <si>
    <t>总分</t>
  </si>
  <si>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、年龄</t>
    </r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</si>
  <si>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、性别</t>
    </r>
  </si>
  <si>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、当前教育水平</t>
    </r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</si>
  <si>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、您的专业属于</t>
    </r>
  </si>
  <si>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、您使用生成式人工智能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（如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Kimi</t>
    </r>
    <r>
      <rPr>
        <sz val="10"/>
        <color theme="1"/>
        <rFont val="宋体"/>
        <charset val="134"/>
      </rPr>
      <t>、豆包等）的频率是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</si>
  <si>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、您使用生成式人工智能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（如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、</t>
    </r>
    <r>
      <rPr>
        <sz val="10"/>
        <color theme="1"/>
        <rFont val="Arial"/>
        <charset val="134"/>
      </rPr>
      <t>Kimi</t>
    </r>
    <r>
      <rPr>
        <sz val="10"/>
        <color theme="1"/>
        <rFont val="宋体"/>
        <charset val="134"/>
      </rPr>
      <t>、豆包等）的熟练度是</t>
    </r>
  </si>
  <si>
    <t>7、您经常使用的生成式人工智能是</t>
  </si>
  <si>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、您每次与生成式人工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智能对话的轮次大概是？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</si>
  <si>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、在使用生成式</t>
    </r>
    <r>
      <rPr>
        <sz val="10"/>
        <color theme="1"/>
        <rFont val="Arial"/>
        <charset val="134"/>
      </rPr>
      <t>AI</t>
    </r>
    <r>
      <rPr>
        <sz val="10"/>
        <color theme="1"/>
        <rFont val="宋体"/>
        <charset val="134"/>
      </rPr>
      <t>的时候，您进行以下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行为（参考图示）的频率是</t>
    </r>
    <r>
      <rPr>
        <sz val="10"/>
        <color theme="1"/>
        <rFont val="Arial"/>
        <charset val="134"/>
      </rPr>
      <t>—</t>
    </r>
    <r>
      <rPr>
        <sz val="10"/>
        <color theme="1"/>
        <rFont val="宋体"/>
        <charset val="134"/>
      </rPr>
      <t>①点击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</si>
  <si>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、②鼠标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悬浮在答案上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</si>
  <si>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、③滚动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屏幕查看答案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</si>
  <si>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、④手动复制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或使用复制按钮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</si>
  <si>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、⑤重新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生成答案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</si>
  <si>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、⑥重新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编辑提问词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</si>
  <si>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、⑦使用点赞、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转发等交互按钮</t>
    </r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</si>
  <si>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、⑧点击</t>
    </r>
    <r>
      <rPr>
        <sz val="10"/>
        <color theme="1"/>
        <rFont val="Arial"/>
        <charset val="134"/>
      </rPr>
      <t>AI</t>
    </r>
    <r>
      <rPr>
        <sz val="10"/>
        <color theme="1"/>
        <rFont val="宋体"/>
        <charset val="134"/>
      </rPr>
      <t>提供的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链接或者查看信息来源</t>
    </r>
  </si>
  <si>
    <t>评估</t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</si>
  <si>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、各轮次满意度评估（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表示非常不满意，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表示非常满意）</t>
    </r>
    <r>
      <rPr>
        <sz val="10"/>
        <color theme="1"/>
        <rFont val="Arial"/>
        <charset val="134"/>
      </rPr>
      <t xml:space="preserve">
—</t>
    </r>
    <r>
      <rPr>
        <sz val="10"/>
        <color theme="1"/>
        <rFont val="宋体"/>
        <charset val="134"/>
      </rPr>
      <t>回想对话第</t>
    </r>
    <r>
      <rPr>
        <sz val="10"/>
        <color theme="1"/>
        <rFont val="Arial"/>
        <charset val="134"/>
      </rPr>
      <t>1-3</t>
    </r>
    <r>
      <rPr>
        <sz val="10"/>
        <color theme="1"/>
        <rFont val="宋体"/>
        <charset val="134"/>
      </rPr>
      <t>轮，我对系统表现的满意度是</t>
    </r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</si>
  <si>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、回想对话第</t>
    </r>
    <r>
      <rPr>
        <sz val="10"/>
        <color theme="1"/>
        <rFont val="Arial"/>
        <charset val="134"/>
      </rPr>
      <t>4-6</t>
    </r>
    <r>
      <rPr>
        <sz val="10"/>
        <color theme="1"/>
        <rFont val="宋体"/>
        <charset val="134"/>
      </rPr>
      <t>轮，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我对系统表现的满意度是</t>
    </r>
  </si>
  <si>
    <r>
      <rPr>
        <sz val="10"/>
        <color theme="1"/>
        <rFont val="Arial"/>
        <charset val="134"/>
      </rPr>
      <t>2</t>
    </r>
    <r>
      <rPr>
        <sz val="10"/>
        <color theme="1"/>
        <rFont val="宋体"/>
        <charset val="134"/>
      </rPr>
      <t>、回想对话第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轮及以后，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我对系统表现的满意度是</t>
    </r>
  </si>
  <si>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、任务完成效率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表示非常不同意，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表示非常同意）</t>
    </r>
    <r>
      <rPr>
        <sz val="10"/>
        <color theme="1"/>
        <rFont val="Arial"/>
        <charset val="134"/>
      </rPr>
      <t xml:space="preserve">
—</t>
    </r>
    <r>
      <rPr>
        <sz val="10"/>
        <color theme="1"/>
        <rFont val="宋体"/>
        <charset val="134"/>
      </rPr>
      <t>该系统帮助我高效地完成了我的搜索任务</t>
    </r>
  </si>
  <si>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、我无需付出过多的精力或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时间就能在系统中找到所需信息</t>
    </r>
  </si>
  <si>
    <r>
      <rPr>
        <sz val="10"/>
        <color theme="1"/>
        <rFont val="Arial"/>
        <charset val="134"/>
      </rPr>
      <t>3</t>
    </r>
    <r>
      <rPr>
        <sz val="10"/>
        <color theme="1"/>
        <rFont val="宋体"/>
        <charset val="134"/>
      </rPr>
      <t>、与我的期望相比，使用该系统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完成搜索任务所需的时间是合理的</t>
    </r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</si>
  <si>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、结果质量与相关性（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表示非常不同意，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表示非常同意）</t>
    </r>
    <r>
      <rPr>
        <sz val="10"/>
        <color theme="1"/>
        <rFont val="Arial"/>
        <charset val="134"/>
      </rPr>
      <t xml:space="preserve">
—</t>
    </r>
    <r>
      <rPr>
        <sz val="10"/>
        <color theme="1"/>
        <rFont val="宋体"/>
        <charset val="134"/>
      </rPr>
      <t>该系统提供的搜索结果与我的需求高度相关</t>
    </r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</si>
  <si>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、该系统提供的信息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是准确和可靠的</t>
    </r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</si>
  <si>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、即使系统没有直接提供所有信息，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它也能有效地引导我找到所需内容</t>
    </r>
  </si>
  <si>
    <r>
      <rPr>
        <sz val="10"/>
        <color theme="1"/>
        <rFont val="Arial"/>
        <charset val="134"/>
      </rPr>
      <t>4</t>
    </r>
    <r>
      <rPr>
        <sz val="10"/>
        <color theme="1"/>
        <rFont val="宋体"/>
        <charset val="134"/>
      </rPr>
      <t>、该系统提供的信息足够全面，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能够满足我的大部分需求</t>
    </r>
  </si>
  <si>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、交互流畅性与易用性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表示非常不同意，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表示非常同意）</t>
    </r>
    <r>
      <rPr>
        <sz val="10"/>
        <color theme="1"/>
        <rFont val="Arial"/>
        <charset val="134"/>
      </rPr>
      <t xml:space="preserve">
—</t>
    </r>
    <r>
      <rPr>
        <sz val="10"/>
        <color theme="1"/>
        <rFont val="宋体"/>
        <charset val="134"/>
      </rPr>
      <t>该系统易于学习和使用，我能清晰理解每一个图标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操作的意图</t>
    </r>
  </si>
  <si>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、与该系统的交互过程是流畅自然的，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没有卡顿或者不必要的等待</t>
    </r>
  </si>
  <si>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、我很容易就能理解系统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在每个阶段的意图和引导</t>
    </r>
  </si>
  <si>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、在使用该系统的过程中，我很少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感到困惑或需要付出额外的认知努力</t>
    </r>
  </si>
  <si>
    <r>
      <rPr>
        <sz val="10"/>
        <color theme="1"/>
        <rFont val="Arial"/>
        <charset val="134"/>
      </rPr>
      <t>5</t>
    </r>
    <r>
      <rPr>
        <sz val="10"/>
        <color theme="1"/>
        <rFont val="宋体"/>
        <charset val="134"/>
      </rPr>
      <t>、该系统的界面布局和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信息呈现方式清晰合理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</si>
  <si>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、上下文理解与连贯性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表示非常不同意，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表示非常同意）</t>
    </r>
    <r>
      <rPr>
        <sz val="10"/>
        <color theme="1"/>
        <rFont val="Arial"/>
        <charset val="134"/>
      </rPr>
      <t xml:space="preserve">
—</t>
    </r>
    <r>
      <rPr>
        <sz val="10"/>
        <color theme="1"/>
        <rFont val="宋体"/>
        <charset val="134"/>
      </rPr>
      <t>该系统能够有效地理解和记住我在此次对话中之前提供的信息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</si>
  <si>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、在多轮交互中，系统能保持对话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的逻辑连贯性，我的意图没有被误解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</si>
  <si>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、当我需要澄清或修正时，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系统能够有效处理并调整其响应</t>
    </r>
  </si>
  <si>
    <r>
      <rPr>
        <sz val="10"/>
        <color theme="1"/>
        <rFont val="Arial"/>
        <charset val="134"/>
      </rPr>
      <t>6</t>
    </r>
    <r>
      <rPr>
        <sz val="10"/>
        <color theme="1"/>
        <rFont val="宋体"/>
        <charset val="134"/>
      </rPr>
      <t>、随着对话轮次的增加，系统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对我的搜索意图理解得越来越准确</t>
    </r>
  </si>
  <si>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、整体满意度与未来使用意愿（</t>
    </r>
    <r>
      <rPr>
        <sz val="10"/>
        <color theme="1"/>
        <rFont val="Arial"/>
        <charset val="134"/>
      </rPr>
      <t>1</t>
    </r>
    <r>
      <rPr>
        <sz val="10"/>
        <color theme="1"/>
        <rFont val="宋体"/>
        <charset val="134"/>
      </rPr>
      <t>表示非常不同意，</t>
    </r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表示非常同意）</t>
    </r>
    <r>
      <rPr>
        <sz val="10"/>
        <color theme="1"/>
        <rFont val="Arial"/>
        <charset val="134"/>
      </rPr>
      <t xml:space="preserve">
—</t>
    </r>
    <r>
      <rPr>
        <sz val="10"/>
        <color theme="1"/>
        <rFont val="宋体"/>
        <charset val="134"/>
      </rPr>
      <t>总的来说，我对使用该系统感到满意</t>
    </r>
  </si>
  <si>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、我愿意再次使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用该系统进行搜索</t>
    </r>
  </si>
  <si>
    <r>
      <rPr>
        <sz val="10"/>
        <color theme="1"/>
        <rFont val="Arial"/>
        <charset val="134"/>
      </rPr>
      <t>7</t>
    </r>
    <r>
      <rPr>
        <sz val="10"/>
        <color theme="1"/>
        <rFont val="宋体"/>
        <charset val="134"/>
      </rPr>
      <t>、我乐意向他人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推荐该系统</t>
    </r>
  </si>
  <si>
    <t>8、您认为该系统目前最需要优化的方面是（可多选）</t>
  </si>
  <si>
    <r>
      <rPr>
        <sz val="10"/>
        <color theme="1"/>
        <rFont val="Arial"/>
        <charset val="134"/>
      </rPr>
      <t>9</t>
    </r>
    <r>
      <rPr>
        <sz val="10"/>
        <color theme="1"/>
        <rFont val="宋体"/>
        <charset val="134"/>
      </rPr>
      <t>、其它补充建议</t>
    </r>
  </si>
  <si>
    <t>创造</t>
  </si>
  <si>
    <t>2、各轮次满意度评估（1表示非常不满意，7表示非常满意）—回想对话第1-3轮，我对系统表现的满意度是</t>
  </si>
  <si>
    <t>2、回想对话第4-6轮，我对系统表现的满意度是</t>
  </si>
  <si>
    <t>2、回想对话第7轮及以后，我对系统表现的满意度是</t>
  </si>
  <si>
    <t>3、任务完成效率 （1表示非常不同意，7表示非常同意）—该系统帮助我高效地完成了我的搜索任务</t>
  </si>
  <si>
    <t>3、我无需付出过多的精力或时间就能在系统中找到所需信息</t>
  </si>
  <si>
    <t>3、与我的期望相比，使用该系统完成搜索任务所需的时间是合理的</t>
  </si>
  <si>
    <t>4、结果质量与相关性（1表示非常不同意，7表示非常同意）—该系统提供的搜索结果与我的需求高度相关</t>
  </si>
  <si>
    <t>4、该系统提供的信息是准确和可靠的</t>
  </si>
  <si>
    <t>4、即使系统没有直接提供所有信息，它也能有效地引导我找到所需内容</t>
  </si>
  <si>
    <t>4、该系统提供的信息足够全面，能够满足我的大部分需求</t>
  </si>
  <si>
    <t>5、交互流畅性与易用性 （1表示非常不同意，7表示非常同意）—该系统易于学习和使用，我能清晰理解每一个图标/操作的意图</t>
  </si>
  <si>
    <t>5、与该系统的交互过程是流畅自然的，没有卡顿或者不必要的等待</t>
  </si>
  <si>
    <t>5、我很容易就能理解系统在每个阶段的意图和引导</t>
  </si>
  <si>
    <t>5、在使用该系统的过程中，我很少感到困惑或需要付出额外的认知努力</t>
  </si>
  <si>
    <t>5、该系统的界面布局和信息呈现方式清晰合理</t>
  </si>
  <si>
    <t>6、上下文理解与连贯性 （1表示非常不同意，7表示非常同意）—该系统能够有效地理解和记住我在此次对话中之前提供的信息</t>
  </si>
  <si>
    <t>6、在多轮交互中，系统能保持对话的逻辑连贯性，我的意图没有被误解</t>
  </si>
  <si>
    <t>6、当我需要澄清或修正时，系统能够有效处理并调整其响应</t>
  </si>
  <si>
    <t>6、随着对话轮次的增加，系统对我的搜索意图理解得越来越准确</t>
  </si>
  <si>
    <t>7、整体满意度与未来使用意愿（1表示非常不同意，7表示非常同意）—总的来说，我对使用该系统感到满意</t>
  </si>
  <si>
    <t>7、我愿意再次使用该系统进行搜索</t>
  </si>
  <si>
    <t>7、我乐意向他人推荐该系统</t>
  </si>
  <si>
    <t>9、其它补充建议</t>
  </si>
  <si>
    <t>77秒</t>
  </si>
  <si>
    <t>女性</t>
  </si>
  <si>
    <t>本科生</t>
  </si>
  <si>
    <t>医学/生命科学类</t>
  </si>
  <si>
    <t>有时（每周3-4次）</t>
  </si>
  <si>
    <t>熟悉</t>
  </si>
  <si>
    <t>DeepSeek┋豆包┋文心一言</t>
  </si>
  <si>
    <r>
      <rPr>
        <sz val="10"/>
        <color theme="1"/>
        <rFont val="宋体"/>
        <charset val="134"/>
      </rPr>
      <t>多轮次（</t>
    </r>
    <r>
      <rPr>
        <sz val="10"/>
        <color theme="1"/>
        <rFont val="Arial"/>
        <charset val="134"/>
      </rPr>
      <t>≥5</t>
    </r>
    <r>
      <rPr>
        <sz val="10"/>
        <color theme="1"/>
        <rFont val="宋体"/>
        <charset val="134"/>
      </rPr>
      <t>次）居多</t>
    </r>
  </si>
  <si>
    <t>经常</t>
  </si>
  <si>
    <t>总是</t>
  </si>
  <si>
    <t>有时</t>
  </si>
  <si>
    <t>从不</t>
  </si>
  <si>
    <t>119秒</t>
  </si>
  <si>
    <t>交互流畅性与易用性┋其他（请说明）:〖公式的格式需要优化〗</t>
  </si>
  <si>
    <t>每个AI的通病，公式的格式没办法完好的复制，很无助</t>
  </si>
  <si>
    <t>质量与相关性┋上下文理解与连贯性</t>
  </si>
  <si>
    <t>需要改进一些部分，例如生成的答案中莫名的星号，在复制时需要删掉，而且复制后粘贴两行间都多了一行空格。</t>
  </si>
  <si>
    <t>449秒</t>
  </si>
  <si>
    <t>男性</t>
  </si>
  <si>
    <t>硕士研究生</t>
  </si>
  <si>
    <t>理工类</t>
  </si>
  <si>
    <t>经常（每周5-6次）</t>
  </si>
  <si>
    <t>DeepSeek┋豆包</t>
  </si>
  <si>
    <t>多轮次（≥5次）居多</t>
  </si>
  <si>
    <t>很少</t>
  </si>
  <si>
    <t>124秒</t>
  </si>
  <si>
    <t/>
  </si>
  <si>
    <t>兴趣唤起能力</t>
  </si>
  <si>
    <t>它没有反问或者进一步的话题引导，我目前能想到的部分都回答得很好，但是补充建议有点欠缺，结果出来之后有点没话聊</t>
  </si>
  <si>
    <t>上下文理解与连贯性</t>
  </si>
  <si>
    <t>无</t>
  </si>
  <si>
    <t>84秒</t>
  </si>
  <si>
    <t>人文社科类</t>
  </si>
  <si>
    <t>总是（每天1次或更多）</t>
  </si>
  <si>
    <t>非常熟练</t>
  </si>
  <si>
    <t>DeepSeek┋豆包┋ChatGPT┋Kimi</t>
  </si>
  <si>
    <t>116秒</t>
  </si>
  <si>
    <t>效率结果┋质量与相关性┋交互流畅性与易用性</t>
  </si>
  <si>
    <t>AI在实时的搜索中可能还与实际的信息不完全匹配，例如价格等信息，它可能无法获取一些商品的实时价格信息</t>
  </si>
  <si>
    <t>质量与相关性┋交互流畅性与易用性</t>
  </si>
  <si>
    <t>希望在反馈时能提供多种思路。</t>
  </si>
  <si>
    <t>78秒</t>
  </si>
  <si>
    <t>DeepSeek┋Kimi</t>
  </si>
  <si>
    <t>129秒</t>
  </si>
  <si>
    <t>效率结果┋兴趣唤起能力</t>
  </si>
  <si>
    <t>希望可以逻辑更加清晰，并且一次可以呈现出更多的方案供用户选择</t>
  </si>
  <si>
    <t>60秒</t>
  </si>
  <si>
    <t>DeepSeek┋豆包┋ChatGPT</t>
  </si>
  <si>
    <t>241秒</t>
  </si>
  <si>
    <t>质量与相关性┋交互流畅性与易用性┋上下文理解与连贯性</t>
  </si>
  <si>
    <t>感觉ChatGPT在理解使用场景的情况下差了一点 我表明了是和朋友对话 结果还是比较正式或者像报告 经过反复调试ChatGPT写出来的东西还是缺了点对话的感觉像是在自言自语</t>
  </si>
  <si>
    <t>效率结果┋质量与相关性</t>
  </si>
  <si>
    <t>建议增加具体的品牌信息 使得写出来的内容更具真实感 可以和其他品牌对比 激发消费者的购买欲</t>
  </si>
  <si>
    <t>100秒</t>
  </si>
  <si>
    <t>一般</t>
  </si>
  <si>
    <t>DeepSeek┋豆包┋Kimi┋文心一言</t>
  </si>
  <si>
    <t>单轮、少轮次居多</t>
  </si>
  <si>
    <t>211秒</t>
  </si>
  <si>
    <t>任务完成┋效率结果┋质量与相关性┋交互流畅性与易用性┋上下文理解与连贯性</t>
  </si>
  <si>
    <t>增强答案的连贯性</t>
  </si>
  <si>
    <t>任务完成┋效率结果┋交互流畅性与易用性┋兴趣唤起能力</t>
  </si>
  <si>
    <t>需要更生活化的语言</t>
  </si>
  <si>
    <t>DeepSeek┋豆包┋Kimi</t>
  </si>
  <si>
    <t>86秒</t>
  </si>
  <si>
    <t>90秒</t>
  </si>
  <si>
    <t>287秒</t>
  </si>
  <si>
    <t>质量与相关性</t>
  </si>
  <si>
    <t>希望系统可以向我主动询问需要提供的信息提高效率 帮助我优化问题</t>
  </si>
  <si>
    <t>这次任务我的要求比较多 随着轮次增多 一些要求会被遗忘弱化 影响了连贯性</t>
  </si>
  <si>
    <t>187秒</t>
  </si>
  <si>
    <t>商科类</t>
  </si>
  <si>
    <t>322秒</t>
  </si>
  <si>
    <t>质量与相关性┋上下文理解与连贯性┋兴趣唤起能力</t>
  </si>
  <si>
    <t>短内容比较合适 段落语言及格式方面需要自己整理一下 可能不能完全理解逻辑要求</t>
  </si>
  <si>
    <t>效率结果</t>
  </si>
  <si>
    <t>当指示要求集中到一起时 等待的时间较长</t>
  </si>
  <si>
    <t>101秒</t>
  </si>
  <si>
    <t>130秒</t>
  </si>
  <si>
    <t>任务完成┋交互流畅性与易用性┋上下文理解与连贯性</t>
  </si>
  <si>
    <t>任务完成┋效率结果┋交互流畅性与易用性</t>
  </si>
  <si>
    <t>豆包┋其他〖gemini〗</t>
  </si>
  <si>
    <t>132秒</t>
  </si>
  <si>
    <t>58秒</t>
  </si>
  <si>
    <t>博士研究生</t>
  </si>
  <si>
    <t>DeepSeek┋ChatGPT</t>
  </si>
  <si>
    <t>306秒</t>
  </si>
  <si>
    <t>(空)</t>
  </si>
  <si>
    <t>对copy内容的方式不是特别友好。例如我只想复制生成文本中的其中两小段。往往不能复制其原始布局格式（如小段前的编号无法复制））</t>
  </si>
  <si>
    <t>质量与相关性┋兴趣唤起能力</t>
  </si>
  <si>
    <t>依旧缺乏创造性的思维，不论如何指令都一眼“营销号”，不过文本质量还是可以的</t>
  </si>
  <si>
    <t>122秒</t>
  </si>
  <si>
    <t>DeepSeek┋ChatGPT┋Claude</t>
  </si>
  <si>
    <t>577秒</t>
  </si>
  <si>
    <t>效率结果┋质量与相关性┋其他（请说明）:〖我认为搜索网页的质量较低 影响了模型本身判断〗</t>
  </si>
  <si>
    <t>70秒</t>
  </si>
  <si>
    <t>87秒</t>
  </si>
  <si>
    <t>交互流畅性与易用性</t>
  </si>
  <si>
    <t>暂无</t>
  </si>
  <si>
    <t>系统生成内容的有一些格式不符合常用习惯，比如序号等。</t>
  </si>
  <si>
    <t>98秒</t>
  </si>
  <si>
    <t>217秒</t>
  </si>
  <si>
    <t>对用户在提问过程中打错字等问题无法及时识别</t>
  </si>
  <si>
    <t>生成文件时易卡顿</t>
  </si>
  <si>
    <t>95秒</t>
  </si>
  <si>
    <t>758秒</t>
  </si>
  <si>
    <t>交互流畅性与易用性┋上下文理解与连贯性</t>
  </si>
  <si>
    <t>表格呈现方式的确较为清晰 但不太方便复制粘贴 我个人感觉表格可以在其段落式说明之后以总结的方式呈现 而不是以主体内容呈现（除非个体要求）</t>
  </si>
  <si>
    <t>当我之前提问时，AI一直都是以段落式呈现内容，只是询问我是否要换成表格式方便理解（我并没有做出回应，因为我希望其一直保持段落式呈现）在其中某一个对话时，它突然换成表格式，需要我提醒不要表格要段落才能实现，让我感觉有些不便</t>
  </si>
  <si>
    <t>201秒</t>
  </si>
  <si>
    <t>279秒</t>
  </si>
  <si>
    <t>系统在使用时思考搜查时间显著高于Deepseek或豆包此类软件，同时使用时给用户的感觉有一种“严肃感”，搜查时随着对话的进行有上下文重叠程度较大的趋势。</t>
  </si>
  <si>
    <t>对创造性题目的回答后续的“进一步调试需求方案”比较难以触及真正的任务需求，较偏向于对当前的答案进行扩充而不是更广度地发散方向。</t>
  </si>
  <si>
    <t>71秒</t>
  </si>
  <si>
    <t>其他（请说明）:〖文字呈现方式〗</t>
  </si>
  <si>
    <t>123秒</t>
  </si>
  <si>
    <t>66秒</t>
  </si>
  <si>
    <t>希望图片生成的速度可以更快一些</t>
  </si>
  <si>
    <t>如果能有图片输入或者pdf等文件输入提问就更好了</t>
  </si>
  <si>
    <t>92秒</t>
  </si>
  <si>
    <t>300秒</t>
  </si>
  <si>
    <t>效率结果┋其他（请说明）:〖当让系统限定答案字数时，总是超出字数〗</t>
  </si>
  <si>
    <t>不确定信息的真实性，尤其涉及具体的饭店</t>
  </si>
  <si>
    <t>276秒</t>
  </si>
  <si>
    <t>171秒</t>
  </si>
  <si>
    <t>多结合日常生活情景</t>
  </si>
  <si>
    <t>73秒</t>
  </si>
  <si>
    <t>188秒</t>
  </si>
  <si>
    <t>任务完成</t>
  </si>
  <si>
    <t>感觉ai生成的结果有些时候还是缺乏一点“人味”，有一点假，希望系统的语言风格能被优化</t>
  </si>
  <si>
    <t>139秒</t>
  </si>
  <si>
    <t>88秒</t>
  </si>
  <si>
    <t>有时候的回答太机械了，太有ai味了</t>
  </si>
  <si>
    <t>建议给出答案参考的相关网址网页，可以让用户有机会去查证答案的真伪</t>
  </si>
  <si>
    <t>183秒</t>
  </si>
  <si>
    <t>165秒</t>
  </si>
  <si>
    <t>99秒</t>
  </si>
  <si>
    <t>113秒</t>
  </si>
  <si>
    <t>交互流畅性与易用性┋兴趣唤起能力</t>
  </si>
  <si>
    <t>流畅性有待完善</t>
  </si>
  <si>
    <t>趣味性有待完善</t>
  </si>
  <si>
    <t>63秒</t>
  </si>
  <si>
    <t>豆包</t>
  </si>
  <si>
    <t>需要对ai提供详细的要求，能更容易得到理想的结果</t>
  </si>
  <si>
    <t>ai是基于网络数据的检索，可能会有误导ai的内容导致给出有偏差的数据结果，需要人为的引导来修正数据最终得到想要的结果，这就需要使用者需要有一定背景基础，要对问题有一定的认识，可以更有效率地得到更加准确的结果</t>
  </si>
  <si>
    <t>109秒</t>
  </si>
  <si>
    <t>任务完成┋交互流畅性与易用性┋兴趣唤起能力</t>
  </si>
  <si>
    <t>效率结果┋交互流畅性与易用性┋兴趣唤起能力</t>
  </si>
  <si>
    <t>其实他能主动反馈一下使用者需要再提供哪些信息，以提问的方式在每一次对话结尾处，这样更好。</t>
  </si>
  <si>
    <t>54秒</t>
  </si>
  <si>
    <t>68秒</t>
  </si>
  <si>
    <t>126秒</t>
  </si>
  <si>
    <t>177秒</t>
  </si>
  <si>
    <t>效率结果┋上下文理解与连贯性</t>
  </si>
  <si>
    <t>任务完成┋交互流畅性与易用性</t>
  </si>
  <si>
    <t>DeepSeek┋豆包┋ChatGPT┋文心一言</t>
  </si>
  <si>
    <t>189秒</t>
  </si>
  <si>
    <t>体验感挺好的，回答第二个评估类问题时当我进行第二轮对话时，我感觉它给我一个惊喜的回答，并且启示了我。</t>
  </si>
  <si>
    <t>适当在答案底部附上一些资料来源会更好</t>
  </si>
  <si>
    <t>79秒</t>
  </si>
  <si>
    <t>DeepSeek┋ChatGPT┋其他〖gemini 2.5 pro〗</t>
  </si>
  <si>
    <t>59秒</t>
  </si>
  <si>
    <t>暂无。</t>
  </si>
  <si>
    <t>该对话式搜索易用性较强，较少出现遗忘和幻觉现象。</t>
  </si>
  <si>
    <t>ChatGPT</t>
  </si>
  <si>
    <t>471秒</t>
  </si>
  <si>
    <t>334秒</t>
  </si>
  <si>
    <t>效率结果┋上下文理解与连贯性┋兴趣唤起能力</t>
  </si>
  <si>
    <t>96秒</t>
  </si>
  <si>
    <t>偶尔（每周1-2次）</t>
  </si>
  <si>
    <t>67秒</t>
  </si>
  <si>
    <t>效率结果┋交互流畅性与易用性┋上下文理解与连贯性</t>
  </si>
  <si>
    <t>希望系统可以前后可以保持连贯，之前提出过的问题后面不需要再次提示，不要重复作答</t>
  </si>
  <si>
    <t>632秒</t>
  </si>
  <si>
    <t>任务完成┋效率结果┋质量与相关性</t>
  </si>
  <si>
    <t>任务完成┋效率结果┋质量与相关性┋交互流畅性与易用性┋上下文理解与连贯性┋兴趣唤起能力</t>
  </si>
  <si>
    <t>81秒</t>
  </si>
  <si>
    <t>DeepSeek┋豆包┋ChatGPT┋Kimi┋文心一言</t>
  </si>
  <si>
    <t>528秒</t>
  </si>
  <si>
    <t>该系统或许可以根据需要为用户提供下一步检索问题参考范例</t>
  </si>
  <si>
    <t>可以根据问题和反馈，为用户提供下一步的问题参考提示</t>
  </si>
  <si>
    <t>硕士</t>
  </si>
  <si>
    <t>博士</t>
  </si>
  <si>
    <t>1、您的年龄是__岁</t>
  </si>
  <si>
    <t>2、您的性别是</t>
  </si>
  <si>
    <t>3、当前教育水平为</t>
  </si>
  <si>
    <t>4、您的专业属于</t>
  </si>
  <si>
    <t>5、您使用生成式人工智能（如ChatGPT、DeepSeek、Kimi、豆包等）的频率是</t>
  </si>
  <si>
    <t>6、您使用生成式人工智能（如ChatGPT、DeepSeek、Kimi、豆包等）的熟练度是</t>
  </si>
  <si>
    <t>8、您每次与生成式人工智能对话的轮次大概是？</t>
  </si>
  <si>
    <t>9、在使用生成式AI的时候，您进行以下行为（参考图示）的频率是—①点击</t>
  </si>
  <si>
    <t>9、②鼠标悬浮在答案上</t>
  </si>
  <si>
    <t>9、③滚动屏幕查看答案</t>
  </si>
  <si>
    <t>9、④手动复制或使用复制按钮</t>
  </si>
  <si>
    <t>9、⑤重新生成答案</t>
  </si>
  <si>
    <t>9、⑥重新编辑提问词</t>
  </si>
  <si>
    <t>9、⑦使用点赞、转发等交互按钮</t>
  </si>
  <si>
    <t>9、⑧点击AI提供的链接或者查看信息来源</t>
  </si>
  <si>
    <t>141秒</t>
  </si>
  <si>
    <t>加载速度可以快一点</t>
  </si>
  <si>
    <t>任务完成┋效率结果┋交互流畅性与易用性┋上下文理解与连贯性</t>
  </si>
  <si>
    <t>在用户提出修改建议时，应该在已经给出的回答的基础上进行方案修改，而不是不结合答案仅给出修改建议</t>
  </si>
  <si>
    <t>105秒</t>
  </si>
  <si>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┋豆包┋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Kimi</t>
    </r>
  </si>
  <si>
    <t>117秒</t>
  </si>
  <si>
    <t>其他（请说明）:〖无〗</t>
  </si>
  <si>
    <t>244秒</t>
  </si>
  <si>
    <t>DeepSeek┋ChatGPT┋Kimi</t>
  </si>
  <si>
    <t>133秒</t>
  </si>
  <si>
    <t>212秒</t>
  </si>
  <si>
    <t>加载时间太长，而且总感觉这个不适合大陆人使用，洗衣粉品牌没一个我听说过</t>
  </si>
  <si>
    <t>不喜欢繁体字</t>
  </si>
  <si>
    <t>146秒</t>
  </si>
  <si>
    <t>效率结果┋质量与相关性┋交互流畅性与易用性┋上下文理解与连贯性</t>
  </si>
  <si>
    <t>给的信息太少了</t>
  </si>
  <si>
    <t>质量与相关性┋交互流畅性与易用性┋上下文理解与连贯性┋兴趣唤起能力</t>
  </si>
  <si>
    <t>62秒</t>
  </si>
  <si>
    <t>我很满意</t>
  </si>
  <si>
    <t>记忆能力还需加强，多了几轮对话后会有记忆减退的情况</t>
  </si>
  <si>
    <t>326秒</t>
  </si>
  <si>
    <t>在开展选题凝炼的前期，该平台引用了其他AI平台生成的答案，因此在选题多样性上存在较大局限。后续多轮问答的过程表现较好，能够满足所有信息需求。</t>
  </si>
  <si>
    <t>167秒</t>
  </si>
  <si>
    <t>263秒</t>
  </si>
  <si>
    <t>93秒</t>
  </si>
  <si>
    <t>流畅度可以提升</t>
  </si>
  <si>
    <t>任务完成┋质量与相关性┋交互流畅性与易用性┋兴趣唤起能力</t>
  </si>
  <si>
    <t>多提供相关网页和链接</t>
  </si>
  <si>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Kimi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Perplexity</t>
    </r>
  </si>
  <si>
    <t>144秒</t>
  </si>
  <si>
    <t>248秒</t>
  </si>
  <si>
    <r>
      <rPr>
        <sz val="10"/>
        <color theme="1"/>
        <rFont val="宋体"/>
        <charset val="134"/>
      </rPr>
      <t>在使用期间事实上是我在引导系统，也就是说我只能得到我所提出问题的答案。是否可以增加类似于</t>
    </r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的深度思考功能，提供一个对于提问者所提出问题的一种背景定位，也就是猜测提问者可能需要什么内容，出于什么原因提问，可能还会好奇什么内容，这样就可以同步提升提问者提问的广度和深度。</t>
    </r>
  </si>
  <si>
    <t>80秒</t>
  </si>
  <si>
    <t>DeepSeek</t>
  </si>
  <si>
    <t>61秒</t>
  </si>
  <si>
    <t>任务完成┋质量与相关性┋上下文理解与连贯性</t>
  </si>
  <si>
    <t>118秒</t>
  </si>
  <si>
    <t>其他〖农业科学〗</t>
  </si>
  <si>
    <t>72秒</t>
  </si>
  <si>
    <t>语言调整为中文</t>
  </si>
  <si>
    <t>283秒</t>
  </si>
  <si>
    <t>点击输出框下面的复制键，复制出来的文字后面会带有一堆网址代码，需要手动删除，希望能够改进</t>
  </si>
  <si>
    <t>上下文理解与连贯性┋兴趣唤起能力</t>
  </si>
  <si>
    <t>系统都回答可以更长一些更多一些，可以提供更多思路和选择面，唤起用户多轮对话的兴趣</t>
  </si>
  <si>
    <t>151秒</t>
  </si>
  <si>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Claude</t>
    </r>
  </si>
  <si>
    <t>237秒</t>
  </si>
  <si>
    <t>提升回答长短感知，链接真实性和相关性</t>
  </si>
  <si>
    <t>增加功能：可修改已经问过的问题（类似gpt）；要求模型修改回答的时候不能抓取所有先前要求</t>
  </si>
  <si>
    <t>我能听懂因为我聪明，提出了意见后，它的回答主体就被带偏了！</t>
  </si>
  <si>
    <t>其他（请说明）:〖真实性〗</t>
  </si>
  <si>
    <t>布吉岛是不是真的</t>
  </si>
  <si>
    <t>64秒</t>
  </si>
  <si>
    <t>162秒</t>
  </si>
  <si>
    <t>上下文理解与连贯性┋其他（请说明）:〖复杂任务处理能力中的多轮交互能力〗</t>
  </si>
  <si>
    <t>该AI在第四轮交互中忘记了第一轮自己生成的回答中的概念</t>
  </si>
  <si>
    <t>质量与相关性┋兴趣唤起能力┋其他（请说明）:〖语言文字应用能力〗</t>
  </si>
  <si>
    <t>该AI多轮单次回答相似问题时结构很相似，单轮要求多次回答时有所改进</t>
  </si>
  <si>
    <t>131秒</t>
  </si>
  <si>
    <t>210秒</t>
  </si>
  <si>
    <t>258秒</t>
  </si>
  <si>
    <t>🈚️</t>
  </si>
  <si>
    <t>161秒</t>
  </si>
  <si>
    <t>231秒</t>
  </si>
  <si>
    <t>没有在之前的对话中吸取足够的有效信息，导致我要不停地纠正他，而且每次提供的结果内容都很相似</t>
  </si>
  <si>
    <t>答案太局限于用户的指令，甚至直接用的指令里的话，给人的感觉是语料库不是很丰富，在这方面需要进一步改进，给出更符合用户需求的、更满意的答案</t>
  </si>
  <si>
    <t>392秒</t>
  </si>
  <si>
    <t>120秒</t>
  </si>
  <si>
    <t>上下文理解的连贯性有待提高，对用户指令的理解不够精准</t>
  </si>
  <si>
    <t>交互流畅性与易用性┋上下文理解与连贯性┋兴趣唤起能力</t>
  </si>
  <si>
    <t>和人的情感沟通有待加强</t>
  </si>
  <si>
    <t>147秒</t>
  </si>
  <si>
    <t>有些卡顿，以及回答问题之间不是很连贯</t>
  </si>
  <si>
    <t>226秒</t>
  </si>
  <si>
    <t>交互流畅性与易用性┋上下文理解与连贯性┋其他（请说明）:〖回答信息量太少，语言组织得很乱，没有条理。数据源太少，没有一个是论文数据，还选了有游戏网页的文章，这些文章经常是互相抄，很不专业。〗</t>
  </si>
  <si>
    <t>这个ai太不成熟，我以后不会再用它。</t>
  </si>
  <si>
    <t>效率结果┋质量与相关性┋上下文理解与连贯性┋其他（请说明）:〖数据来源应该更多，为用户提供更多选择〗</t>
  </si>
  <si>
    <t>不够丝滑，比不上ds。感觉很笨拙，还在学走路。</t>
  </si>
  <si>
    <t>75秒</t>
  </si>
  <si>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┋豆包┋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Claude</t>
    </r>
    <r>
      <rPr>
        <sz val="10"/>
        <color theme="1"/>
        <rFont val="宋体"/>
        <charset val="134"/>
      </rPr>
      <t>┋其他〖</t>
    </r>
    <r>
      <rPr>
        <sz val="10"/>
        <color theme="1"/>
        <rFont val="Arial"/>
        <charset val="134"/>
      </rPr>
      <t>grok</t>
    </r>
    <r>
      <rPr>
        <sz val="10"/>
        <color theme="1"/>
        <rFont val="宋体"/>
        <charset val="134"/>
      </rPr>
      <t>〗</t>
    </r>
  </si>
  <si>
    <t>系统在收集网络界面上的价格的数据上有的会有问题，需要再做准确度的调整</t>
  </si>
  <si>
    <t>65秒</t>
  </si>
  <si>
    <t>103秒</t>
  </si>
  <si>
    <t>内容不够丰富和具有发散性</t>
  </si>
  <si>
    <t>595秒</t>
  </si>
  <si>
    <t>451秒</t>
  </si>
  <si>
    <t>该产品没找到修改前几轮对话的按键</t>
  </si>
  <si>
    <t>156秒</t>
  </si>
  <si>
    <t>136秒</t>
  </si>
  <si>
    <t>621秒</t>
  </si>
  <si>
    <t>DeepSeek┋豆包┋Claude┋Perplexity┋其他〖Gemini，grok〗</t>
  </si>
  <si>
    <t>732秒</t>
  </si>
  <si>
    <t>任务完成┋上下文理解与连贯性</t>
  </si>
  <si>
    <t>结果来源可以更为广泛和精准，回答内容可以更详细</t>
  </si>
  <si>
    <t>回答内容不够丰富和全面详细，界面简约但太过简单，中文适配度较低，</t>
  </si>
  <si>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┋豆包┋</t>
    </r>
    <r>
      <rPr>
        <sz val="10"/>
        <color theme="1"/>
        <rFont val="Arial"/>
        <charset val="134"/>
      </rPr>
      <t>Kimi</t>
    </r>
    <r>
      <rPr>
        <sz val="10"/>
        <color theme="1"/>
        <rFont val="宋体"/>
        <charset val="134"/>
      </rPr>
      <t>┋</t>
    </r>
    <r>
      <rPr>
        <sz val="10"/>
        <color theme="1"/>
        <rFont val="Arial"/>
        <charset val="134"/>
      </rPr>
      <t>Claude</t>
    </r>
    <r>
      <rPr>
        <sz val="10"/>
        <color theme="1"/>
        <rFont val="宋体"/>
        <charset val="134"/>
      </rPr>
      <t>┋其他〖</t>
    </r>
    <r>
      <rPr>
        <sz val="10"/>
        <color theme="1"/>
        <rFont val="Arial"/>
        <charset val="134"/>
      </rPr>
      <t>Gemini</t>
    </r>
    <r>
      <rPr>
        <sz val="10"/>
        <color theme="1"/>
        <rFont val="宋体"/>
        <charset val="134"/>
      </rPr>
      <t>〗</t>
    </r>
  </si>
  <si>
    <t>建议调整对话大模型，增强大模型对用户问题的理解能力。对大模型提出新要求时，模型仅修改了回答的文字，没有实质性改动</t>
  </si>
  <si>
    <t>275秒</t>
  </si>
  <si>
    <t>249秒</t>
  </si>
  <si>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┋豆包┋</t>
    </r>
    <r>
      <rPr>
        <sz val="10"/>
        <color theme="1"/>
        <rFont val="Arial"/>
        <charset val="134"/>
      </rPr>
      <t>ChatGPT</t>
    </r>
  </si>
  <si>
    <t>127秒</t>
  </si>
  <si>
    <t>感觉同一话题下多个对话的呈现方式不太合适，还是对话框比较容易看。</t>
  </si>
  <si>
    <t>228秒</t>
  </si>
  <si>
    <t>53秒</t>
  </si>
  <si>
    <t>推广方面</t>
  </si>
  <si>
    <t>内容量少</t>
  </si>
  <si>
    <t>82秒</t>
  </si>
  <si>
    <t>创新性还需要进一步提高</t>
  </si>
  <si>
    <t>被试号-gpt</t>
  </si>
  <si>
    <t>四个部分平均值</t>
  </si>
  <si>
    <t>F整体满意度与未来使用意愿</t>
  </si>
  <si>
    <t>被试号-p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</si>
</sst>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b/>
      <sz val="10"/>
      <color rgb="FFC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6">
    <xf numFmtId="0" fontId="0" fillId="0" borderId="0" xfId="49"/>
    <xf numFmtId="0" fontId="0" fillId="0" borderId="0" xfId="49" applyProtection="1"/>
    <xf numFmtId="0" fontId="1" fillId="0" borderId="0" xfId="49" applyFont="1"/>
    <xf numFmtId="0" fontId="0" fillId="0" borderId="0" xfId="49" applyFill="1"/>
    <xf numFmtId="0" fontId="1" fillId="0" borderId="0" xfId="49" applyFont="1" applyFill="1"/>
    <xf numFmtId="0" fontId="0" fillId="2" borderId="0" xfId="49" applyFill="1"/>
    <xf numFmtId="0" fontId="2" fillId="0" borderId="0" xfId="49" applyFont="1" applyProtection="1"/>
    <xf numFmtId="0" fontId="3" fillId="0" borderId="0" xfId="49" applyFont="1" applyFill="1" applyAlignment="1">
      <alignment wrapText="1"/>
    </xf>
    <xf numFmtId="0" fontId="2" fillId="0" borderId="0" xfId="49" applyFont="1"/>
    <xf numFmtId="0" fontId="2" fillId="0" borderId="0" xfId="49" applyFont="1" applyFill="1" applyAlignment="1"/>
    <xf numFmtId="0" fontId="3" fillId="0" borderId="0" xfId="49" applyFont="1" applyFill="1" applyAlignment="1"/>
    <xf numFmtId="0" fontId="2" fillId="2" borderId="0" xfId="49" applyFont="1" applyFill="1"/>
    <xf numFmtId="0" fontId="1" fillId="0" borderId="0" xfId="49" applyNumberFormat="1" applyFont="1" applyFill="1" applyAlignment="1"/>
    <xf numFmtId="176" fontId="0" fillId="0" borderId="0" xfId="49" applyNumberFormat="1"/>
    <xf numFmtId="0" fontId="0" fillId="0" borderId="0" xfId="49" applyNumberFormat="1" applyFont="1" applyFill="1" applyAlignment="1"/>
    <xf numFmtId="0" fontId="0" fillId="0" borderId="0" xfId="49" applyFont="1" applyFill="1" applyAlignment="1"/>
    <xf numFmtId="0" fontId="1" fillId="0" borderId="0" xfId="49" applyFont="1" applyFill="1" applyAlignment="1"/>
    <xf numFmtId="0" fontId="0" fillId="0" borderId="0" xfId="49" applyFill="1" applyProtection="1"/>
    <xf numFmtId="0" fontId="0" fillId="0" borderId="0" xfId="0" applyProtection="1">
      <alignment vertical="center"/>
    </xf>
    <xf numFmtId="0" fontId="1" fillId="0" borderId="0" xfId="0" applyFont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1" xfId="0" applyFont="1" applyBorder="1" applyProtection="1">
      <alignment vertical="center"/>
    </xf>
    <xf numFmtId="0" fontId="2" fillId="0" borderId="0" xfId="0" applyFont="1" applyFill="1">
      <alignment vertical="center"/>
    </xf>
    <xf numFmtId="0" fontId="2" fillId="2" borderId="1" xfId="0" applyFont="1" applyFill="1" applyBorder="1">
      <alignment vertical="center"/>
    </xf>
    <xf numFmtId="0" fontId="0" fillId="0" borderId="0" xfId="49" applyFont="1" applyAlignment="1">
      <alignment wrapText="1"/>
    </xf>
    <xf numFmtId="0" fontId="0" fillId="0" borderId="0" xfId="0">
      <alignment vertical="center"/>
    </xf>
    <xf numFmtId="0" fontId="0" fillId="3" borderId="0" xfId="49" applyFill="1"/>
    <xf numFmtId="0" fontId="4" fillId="4" borderId="0" xfId="49" applyFont="1" applyFill="1"/>
    <xf numFmtId="0" fontId="4" fillId="4" borderId="0" xfId="49" applyFont="1" applyFill="1" applyAlignment="1"/>
    <xf numFmtId="0" fontId="0" fillId="0" borderId="0" xfId="49" applyFont="1" applyFill="1" applyAlignment="1">
      <alignment wrapText="1"/>
    </xf>
    <xf numFmtId="0" fontId="0" fillId="3" borderId="0" xfId="49" applyFont="1" applyFill="1" applyAlignment="1">
      <alignment wrapText="1"/>
    </xf>
    <xf numFmtId="0" fontId="0" fillId="3" borderId="0" xfId="49" applyFont="1" applyFill="1" applyAlignment="1"/>
    <xf numFmtId="0" fontId="0" fillId="4" borderId="0" xfId="49" applyFill="1"/>
    <xf numFmtId="0" fontId="0" fillId="4" borderId="0" xfId="49" applyFont="1" applyFill="1" applyAlignment="1"/>
    <xf numFmtId="0" fontId="0" fillId="3" borderId="0" xfId="49" applyNumberFormat="1" applyFont="1" applyFill="1" applyAlignment="1"/>
    <xf numFmtId="0" fontId="0" fillId="0" borderId="0" xfId="49" applyNumberFormat="1"/>
    <xf numFmtId="0" fontId="0" fillId="0" borderId="0" xfId="49" applyFont="1"/>
    <xf numFmtId="0" fontId="2" fillId="0" borderId="0" xfId="49" applyFont="1" applyFill="1" applyAlignment="1">
      <alignment wrapText="1"/>
    </xf>
    <xf numFmtId="0" fontId="0" fillId="0" borderId="0" xfId="49" applyNumberFormat="1" applyFill="1"/>
    <xf numFmtId="0" fontId="2" fillId="0" borderId="1" xfId="0" applyFont="1" applyBorder="1">
      <alignment vertical="center"/>
    </xf>
    <xf numFmtId="0" fontId="0" fillId="0" borderId="1" xfId="49" applyFill="1" applyBorder="1"/>
    <xf numFmtId="0" fontId="0" fillId="0" borderId="1" xfId="0" applyBorder="1">
      <alignment vertical="center"/>
    </xf>
    <xf numFmtId="0" fontId="0" fillId="5" borderId="0" xfId="49" applyFill="1"/>
    <xf numFmtId="0" fontId="0" fillId="0" borderId="0" xfId="49" applyFont="1" applyFill="1" applyAlignment="1">
      <alignment horizontal="right"/>
    </xf>
    <xf numFmtId="0" fontId="0" fillId="3" borderId="0" xfId="0" applyFill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性别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GPT!$B$53:$B$54</c:f>
              <c:strCache>
                <c:ptCount val="2"/>
                <c:pt idx="0">
                  <c:v>女性</c:v>
                </c:pt>
                <c:pt idx="1">
                  <c:v>男性</c:v>
                </c:pt>
              </c:strCache>
            </c:strRef>
          </c:cat>
          <c:val>
            <c:numRef>
              <c:f>GPT!$C$53:$C$54</c:f>
              <c:numCache>
                <c:formatCode>General</c:formatCode>
                <c:ptCount val="2"/>
                <c:pt idx="0">
                  <c:v>19</c:v>
                </c:pt>
                <c:pt idx="1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a5a587-8ebd-4f18-8e55-e611d7f0d5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教育水平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GPT!$F$53:$F$55</c:f>
              <c:strCache>
                <c:ptCount val="3"/>
                <c:pt idx="0">
                  <c:v>本科生</c:v>
                </c:pt>
                <c:pt idx="1">
                  <c:v>硕士</c:v>
                </c:pt>
                <c:pt idx="2">
                  <c:v>博士</c:v>
                </c:pt>
              </c:strCache>
            </c:strRef>
          </c:cat>
          <c:val>
            <c:numRef>
              <c:f>GPT!$G$53:$G$55</c:f>
              <c:numCache>
                <c:formatCode>General</c:formatCode>
                <c:ptCount val="3"/>
                <c:pt idx="0">
                  <c:v>19</c:v>
                </c:pt>
                <c:pt idx="1">
                  <c:v>15</c:v>
                </c:pt>
                <c:pt idx="2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b162f0-0e8f-4a6e-a4cf-daf39733fd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性别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Perplexity!$B$53:$B$54</c:f>
              <c:strCache>
                <c:ptCount val="2"/>
                <c:pt idx="0">
                  <c:v>女性</c:v>
                </c:pt>
                <c:pt idx="1">
                  <c:v>男性</c:v>
                </c:pt>
              </c:strCache>
            </c:strRef>
          </c:cat>
          <c:val>
            <c:numRef>
              <c:f>Perplexity!$C$53:$C$54</c:f>
              <c:numCache>
                <c:formatCode>General</c:formatCode>
                <c:ptCount val="2"/>
                <c:pt idx="0">
                  <c:v>21</c:v>
                </c:pt>
                <c:pt idx="1">
                  <c:v>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2047a6b-4d71-46b9-a58d-c2cea4dc3a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Perplexity!$G$53:$G$55</c:f>
              <c:strCache>
                <c:ptCount val="3"/>
                <c:pt idx="0">
                  <c:v>本科生</c:v>
                </c:pt>
                <c:pt idx="1">
                  <c:v>硕士</c:v>
                </c:pt>
                <c:pt idx="2">
                  <c:v>博士</c:v>
                </c:pt>
              </c:strCache>
            </c:strRef>
          </c:cat>
          <c:val>
            <c:numRef>
              <c:f>Perplexity!$H$53:$H$55</c:f>
              <c:numCache>
                <c:formatCode>General</c:formatCode>
                <c:ptCount val="3"/>
                <c:pt idx="0">
                  <c:v>17</c:v>
                </c:pt>
                <c:pt idx="1">
                  <c:v>16</c:v>
                </c:pt>
                <c:pt idx="2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957bf0d-31e9-4e4a-bbc9-1ca96dea14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193040</xdr:colOff>
      <xdr:row>40</xdr:row>
      <xdr:rowOff>99060</xdr:rowOff>
    </xdr:from>
    <xdr:to>
      <xdr:col>4</xdr:col>
      <xdr:colOff>315595</xdr:colOff>
      <xdr:row>50</xdr:row>
      <xdr:rowOff>68580</xdr:rowOff>
    </xdr:to>
    <xdr:graphicFrame>
      <xdr:nvGraphicFramePr>
        <xdr:cNvPr id="6" name="图表 5"/>
        <xdr:cNvGraphicFramePr/>
      </xdr:nvGraphicFramePr>
      <xdr:xfrm>
        <a:off x="193040" y="6820535"/>
        <a:ext cx="2268220" cy="1588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486410</xdr:colOff>
      <xdr:row>40</xdr:row>
      <xdr:rowOff>88900</xdr:rowOff>
    </xdr:from>
    <xdr:to>
      <xdr:col>7</xdr:col>
      <xdr:colOff>418465</xdr:colOff>
      <xdr:row>50</xdr:row>
      <xdr:rowOff>59055</xdr:rowOff>
    </xdr:to>
    <xdr:graphicFrame>
      <xdr:nvGraphicFramePr>
        <xdr:cNvPr id="8" name="图表 7"/>
        <xdr:cNvGraphicFramePr/>
      </xdr:nvGraphicFramePr>
      <xdr:xfrm>
        <a:off x="2632075" y="6810375"/>
        <a:ext cx="2315845" cy="1589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98425</xdr:colOff>
      <xdr:row>40</xdr:row>
      <xdr:rowOff>54610</xdr:rowOff>
    </xdr:from>
    <xdr:to>
      <xdr:col>4</xdr:col>
      <xdr:colOff>92710</xdr:colOff>
      <xdr:row>50</xdr:row>
      <xdr:rowOff>100330</xdr:rowOff>
    </xdr:to>
    <xdr:graphicFrame>
      <xdr:nvGraphicFramePr>
        <xdr:cNvPr id="2" name="图表 1"/>
        <xdr:cNvGraphicFramePr/>
      </xdr:nvGraphicFramePr>
      <xdr:xfrm>
        <a:off x="98425" y="6782435"/>
        <a:ext cx="2618105" cy="1664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97790</xdr:colOff>
      <xdr:row>40</xdr:row>
      <xdr:rowOff>60960</xdr:rowOff>
    </xdr:from>
    <xdr:to>
      <xdr:col>8</xdr:col>
      <xdr:colOff>274955</xdr:colOff>
      <xdr:row>50</xdr:row>
      <xdr:rowOff>100965</xdr:rowOff>
    </xdr:to>
    <xdr:graphicFrame>
      <xdr:nvGraphicFramePr>
        <xdr:cNvPr id="3" name="图表 2"/>
        <xdr:cNvGraphicFramePr/>
      </xdr:nvGraphicFramePr>
      <xdr:xfrm>
        <a:off x="3377565" y="6788785"/>
        <a:ext cx="2756535" cy="1659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N240"/>
  <sheetViews>
    <sheetView zoomScale="90" zoomScaleNormal="90" topLeftCell="A31" workbookViewId="0">
      <selection activeCell="L40" sqref="L40"/>
    </sheetView>
  </sheetViews>
  <sheetFormatPr defaultColWidth="9" defaultRowHeight="12.75"/>
  <cols>
    <col min="1" max="1" width="9" style="33"/>
    <col min="2" max="2" width="7.53097345132743" style="1" customWidth="1"/>
    <col min="3" max="3" width="8.44247787610619" customWidth="1"/>
    <col min="4" max="4" width="4.92920353982301" customWidth="1"/>
    <col min="5" max="5" width="8.68141592920354" customWidth="1"/>
    <col min="6" max="6" width="9.08849557522124" customWidth="1"/>
    <col min="7" max="7" width="15.4513274336283" customWidth="1"/>
    <col min="8" max="8" width="15.3185840707965" customWidth="1"/>
    <col min="9" max="9" width="47.5221238938053" customWidth="1"/>
    <col min="10" max="10" width="49.858407079646" customWidth="1"/>
    <col min="11" max="11" width="42.3274336283186" customWidth="1"/>
    <col min="12" max="12" width="23.7610619469027" customWidth="1"/>
    <col min="13" max="13" width="35.5840707964602" customWidth="1"/>
    <col min="14" max="14" width="13.1061946902655" customWidth="1"/>
    <col min="15" max="15" width="13.7610619469027" customWidth="1"/>
    <col min="16" max="16" width="15.8407079646018" customWidth="1"/>
    <col min="17" max="17" width="11.1592920353982" customWidth="1"/>
    <col min="18" max="18" width="11.4247787610619" customWidth="1"/>
    <col min="19" max="19" width="17.0176991150442" customWidth="1"/>
    <col min="20" max="20" width="21.0353982300885" customWidth="1"/>
    <col min="21" max="21" width="9" style="33"/>
    <col min="24" max="24" width="53.8938053097345" customWidth="1"/>
    <col min="25" max="25" width="22.5929203539823" customWidth="1"/>
    <col min="26" max="26" width="25.3185840707965" customWidth="1"/>
    <col min="27" max="27" width="50.9026548672566" customWidth="1"/>
    <col min="28" max="28" width="29.3451327433628" customWidth="1"/>
    <col min="29" max="29" width="32.3362831858407" customWidth="1"/>
    <col min="30" max="30" width="53.1238938053097" customWidth="1"/>
    <col min="31" max="31" width="20.7699115044248" customWidth="1"/>
    <col min="32" max="32" width="33.6283185840708" customWidth="1"/>
    <col min="33" max="33" width="30.2477876106195" customWidth="1"/>
    <col min="34" max="34" width="57.787610619469" customWidth="1"/>
    <col min="35" max="35" width="36.8761061946903" customWidth="1"/>
    <col min="36" max="36" width="23.7610619469027" customWidth="1"/>
    <col min="37" max="37" width="33.2389380530973" customWidth="1"/>
    <col min="38" max="38" width="23.1150442477876" customWidth="1"/>
    <col min="39" max="39" width="56.6283185840708" customWidth="1"/>
    <col min="40" max="40" width="32.5929203539823" customWidth="1"/>
    <col min="41" max="41" width="28.6991150442478" customWidth="1"/>
    <col min="42" max="42" width="29.9911504424779" customWidth="1"/>
    <col min="43" max="43" width="61.1592920353982" style="27" customWidth="1"/>
    <col min="44" max="44" width="18.5575221238938" customWidth="1"/>
    <col min="45" max="45" width="17.0088495575221" customWidth="1"/>
    <col min="46" max="46" width="22.6017699115044" customWidth="1"/>
    <col min="47" max="47" width="153.761061946903" customWidth="1"/>
    <col min="48" max="48" width="9" style="33"/>
    <col min="69" max="69" width="9" style="27"/>
    <col min="72" max="72" width="41.8230088495575" customWidth="1"/>
  </cols>
  <sheetData>
    <row r="1" ht="32" customHeight="1" spans="1:144">
      <c r="A1" s="28" t="s">
        <v>0</v>
      </c>
      <c r="B1" s="6" t="s">
        <v>1</v>
      </c>
      <c r="C1" t="s">
        <v>2</v>
      </c>
      <c r="D1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25" t="s">
        <v>8</v>
      </c>
      <c r="J1" s="25" t="s">
        <v>9</v>
      </c>
      <c r="K1" t="s">
        <v>10</v>
      </c>
      <c r="L1" s="25" t="s">
        <v>11</v>
      </c>
      <c r="M1" s="25" t="s">
        <v>12</v>
      </c>
      <c r="N1" s="25" t="s">
        <v>13</v>
      </c>
      <c r="O1" s="25" t="s">
        <v>14</v>
      </c>
      <c r="P1" s="25" t="s">
        <v>15</v>
      </c>
      <c r="Q1" s="25" t="s">
        <v>16</v>
      </c>
      <c r="R1" s="25" t="s">
        <v>17</v>
      </c>
      <c r="S1" s="25" t="s">
        <v>18</v>
      </c>
      <c r="T1" s="25" t="s">
        <v>19</v>
      </c>
      <c r="U1" s="29" t="s">
        <v>20</v>
      </c>
      <c r="V1" s="15" t="s">
        <v>2</v>
      </c>
      <c r="W1" s="15" t="s">
        <v>3</v>
      </c>
      <c r="X1" s="30" t="s">
        <v>21</v>
      </c>
      <c r="Y1" s="30" t="s">
        <v>22</v>
      </c>
      <c r="Z1" s="30" t="s">
        <v>23</v>
      </c>
      <c r="AA1" s="30" t="s">
        <v>24</v>
      </c>
      <c r="AB1" s="30" t="s">
        <v>25</v>
      </c>
      <c r="AC1" s="30" t="s">
        <v>26</v>
      </c>
      <c r="AD1" s="30" t="s">
        <v>27</v>
      </c>
      <c r="AE1" s="30" t="s">
        <v>28</v>
      </c>
      <c r="AF1" s="30" t="s">
        <v>29</v>
      </c>
      <c r="AG1" s="30" t="s">
        <v>30</v>
      </c>
      <c r="AH1" s="30" t="s">
        <v>31</v>
      </c>
      <c r="AI1" s="30" t="s">
        <v>32</v>
      </c>
      <c r="AJ1" s="30" t="s">
        <v>33</v>
      </c>
      <c r="AK1" s="30" t="s">
        <v>34</v>
      </c>
      <c r="AL1" s="30" t="s">
        <v>35</v>
      </c>
      <c r="AM1" s="30" t="s">
        <v>36</v>
      </c>
      <c r="AN1" s="30" t="s">
        <v>37</v>
      </c>
      <c r="AO1" s="30" t="s">
        <v>38</v>
      </c>
      <c r="AP1" s="30" t="s">
        <v>39</v>
      </c>
      <c r="AQ1" s="31" t="s">
        <v>40</v>
      </c>
      <c r="AR1" s="30" t="s">
        <v>41</v>
      </c>
      <c r="AS1" s="30" t="s">
        <v>42</v>
      </c>
      <c r="AT1" s="15" t="s">
        <v>43</v>
      </c>
      <c r="AU1" s="15" t="s">
        <v>44</v>
      </c>
      <c r="AV1" s="28" t="s">
        <v>45</v>
      </c>
      <c r="AW1" s="15" t="s">
        <v>3</v>
      </c>
      <c r="AX1" s="15" t="s">
        <v>46</v>
      </c>
      <c r="AY1" s="15" t="s">
        <v>47</v>
      </c>
      <c r="AZ1" s="15" t="s">
        <v>48</v>
      </c>
      <c r="BA1" s="15" t="s">
        <v>49</v>
      </c>
      <c r="BB1" s="15" t="s">
        <v>50</v>
      </c>
      <c r="BC1" s="15" t="s">
        <v>51</v>
      </c>
      <c r="BD1" s="15" t="s">
        <v>52</v>
      </c>
      <c r="BE1" s="15" t="s">
        <v>53</v>
      </c>
      <c r="BF1" s="15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15" t="s">
        <v>60</v>
      </c>
      <c r="BM1" s="15" t="s">
        <v>61</v>
      </c>
      <c r="BN1" s="15" t="s">
        <v>62</v>
      </c>
      <c r="BO1" s="15" t="s">
        <v>63</v>
      </c>
      <c r="BP1" s="15" t="s">
        <v>64</v>
      </c>
      <c r="BQ1" s="32" t="s">
        <v>65</v>
      </c>
      <c r="BR1" s="15" t="s">
        <v>66</v>
      </c>
      <c r="BS1" s="15" t="s">
        <v>67</v>
      </c>
      <c r="BT1" s="15" t="s">
        <v>43</v>
      </c>
      <c r="BU1" s="15" t="s">
        <v>68</v>
      </c>
    </row>
    <row r="2" spans="1:144">
      <c r="B2" s="1">
        <v>1</v>
      </c>
      <c r="C2" t="s">
        <v>69</v>
      </c>
      <c r="D2" s="36">
        <v>32</v>
      </c>
      <c r="E2" s="36">
        <v>20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s="8" t="s">
        <v>76</v>
      </c>
      <c r="M2" t="s">
        <v>77</v>
      </c>
      <c r="N2" t="s">
        <v>77</v>
      </c>
      <c r="O2" t="s">
        <v>77</v>
      </c>
      <c r="P2" t="s">
        <v>78</v>
      </c>
      <c r="Q2" t="s">
        <v>79</v>
      </c>
      <c r="R2" t="s">
        <v>79</v>
      </c>
      <c r="S2" t="s">
        <v>80</v>
      </c>
      <c r="T2" t="s">
        <v>77</v>
      </c>
      <c r="U2" s="34"/>
      <c r="V2" s="15" t="s">
        <v>81</v>
      </c>
      <c r="W2" s="14">
        <v>140</v>
      </c>
      <c r="X2" s="15">
        <v>7</v>
      </c>
      <c r="Y2" s="14">
        <v>6</v>
      </c>
      <c r="Z2" s="14">
        <v>6</v>
      </c>
      <c r="AA2" s="14">
        <v>6</v>
      </c>
      <c r="AB2" s="14">
        <v>6</v>
      </c>
      <c r="AC2" s="15">
        <v>7</v>
      </c>
      <c r="AD2" s="15">
        <v>7</v>
      </c>
      <c r="AE2" s="14">
        <v>6</v>
      </c>
      <c r="AF2" s="15">
        <v>7</v>
      </c>
      <c r="AG2" s="14">
        <v>6</v>
      </c>
      <c r="AH2" s="15">
        <v>7</v>
      </c>
      <c r="AI2" s="15">
        <v>7</v>
      </c>
      <c r="AJ2" s="15">
        <v>7</v>
      </c>
      <c r="AK2" s="14">
        <v>6</v>
      </c>
      <c r="AL2" s="14">
        <v>5</v>
      </c>
      <c r="AM2" s="14">
        <v>6</v>
      </c>
      <c r="AN2" s="14">
        <v>6</v>
      </c>
      <c r="AO2" s="15">
        <v>7</v>
      </c>
      <c r="AP2" s="15">
        <v>7</v>
      </c>
      <c r="AQ2" s="35">
        <v>6</v>
      </c>
      <c r="AR2" s="14">
        <v>6</v>
      </c>
      <c r="AS2" s="14">
        <v>6</v>
      </c>
      <c r="AT2" s="15" t="s">
        <v>82</v>
      </c>
      <c r="AU2" s="15" t="s">
        <v>83</v>
      </c>
      <c r="AW2" s="14">
        <v>136</v>
      </c>
      <c r="AX2" s="14">
        <v>5</v>
      </c>
      <c r="AY2" s="14">
        <v>5</v>
      </c>
      <c r="AZ2" s="14">
        <v>6</v>
      </c>
      <c r="BA2" s="14">
        <v>6</v>
      </c>
      <c r="BB2" s="15">
        <v>7</v>
      </c>
      <c r="BC2" s="14">
        <v>6</v>
      </c>
      <c r="BD2" s="14">
        <v>6</v>
      </c>
      <c r="BE2" s="14">
        <v>6</v>
      </c>
      <c r="BF2" s="15">
        <v>7</v>
      </c>
      <c r="BG2" s="14">
        <v>6</v>
      </c>
      <c r="BH2" s="15">
        <v>7</v>
      </c>
      <c r="BI2" s="15">
        <v>7</v>
      </c>
      <c r="BJ2" s="14">
        <v>6</v>
      </c>
      <c r="BK2" s="15">
        <v>4</v>
      </c>
      <c r="BL2" s="15">
        <v>7</v>
      </c>
      <c r="BM2" s="15">
        <v>7</v>
      </c>
      <c r="BN2" s="14">
        <v>6</v>
      </c>
      <c r="BO2" s="15">
        <v>7</v>
      </c>
      <c r="BP2" s="15">
        <v>7</v>
      </c>
      <c r="BQ2" s="35">
        <v>6</v>
      </c>
      <c r="BR2" s="14">
        <v>6</v>
      </c>
      <c r="BS2" s="14">
        <v>6</v>
      </c>
      <c r="BT2" s="15" t="s">
        <v>84</v>
      </c>
      <c r="BU2" s="15" t="s">
        <v>85</v>
      </c>
    </row>
    <row r="3" spans="1:144">
      <c r="B3" s="1">
        <v>2</v>
      </c>
      <c r="C3" t="s">
        <v>86</v>
      </c>
      <c r="D3" s="36">
        <v>32</v>
      </c>
      <c r="E3" s="36">
        <v>24</v>
      </c>
      <c r="F3" t="s">
        <v>87</v>
      </c>
      <c r="G3" t="s">
        <v>88</v>
      </c>
      <c r="H3" t="s">
        <v>89</v>
      </c>
      <c r="I3" t="s">
        <v>90</v>
      </c>
      <c r="J3" t="s">
        <v>74</v>
      </c>
      <c r="K3" t="s">
        <v>91</v>
      </c>
      <c r="L3" t="s">
        <v>92</v>
      </c>
      <c r="M3" t="s">
        <v>79</v>
      </c>
      <c r="N3" t="s">
        <v>78</v>
      </c>
      <c r="O3" t="s">
        <v>78</v>
      </c>
      <c r="P3" t="s">
        <v>78</v>
      </c>
      <c r="Q3" t="s">
        <v>79</v>
      </c>
      <c r="R3" t="s">
        <v>77</v>
      </c>
      <c r="S3" t="s">
        <v>93</v>
      </c>
      <c r="T3" t="s">
        <v>80</v>
      </c>
      <c r="V3" t="s">
        <v>94</v>
      </c>
      <c r="W3">
        <v>147</v>
      </c>
      <c r="X3">
        <v>7</v>
      </c>
      <c r="Y3" t="s">
        <v>95</v>
      </c>
      <c r="Z3" t="s">
        <v>95</v>
      </c>
      <c r="AA3">
        <v>7</v>
      </c>
      <c r="AB3">
        <v>7</v>
      </c>
      <c r="AC3">
        <v>7</v>
      </c>
      <c r="AD3">
        <v>7</v>
      </c>
      <c r="AE3">
        <v>6</v>
      </c>
      <c r="AF3">
        <v>7</v>
      </c>
      <c r="AG3">
        <v>7</v>
      </c>
      <c r="AH3">
        <v>7</v>
      </c>
      <c r="AI3">
        <v>7</v>
      </c>
      <c r="AJ3">
        <v>7</v>
      </c>
      <c r="AK3">
        <v>7</v>
      </c>
      <c r="AL3">
        <v>7</v>
      </c>
      <c r="AM3">
        <v>7</v>
      </c>
      <c r="AN3">
        <v>7</v>
      </c>
      <c r="AO3">
        <v>5</v>
      </c>
      <c r="AP3">
        <v>4</v>
      </c>
      <c r="AQ3" s="27">
        <v>7</v>
      </c>
      <c r="AR3">
        <v>5</v>
      </c>
      <c r="AS3">
        <v>5</v>
      </c>
      <c r="AT3" t="s">
        <v>96</v>
      </c>
      <c r="AU3" t="s">
        <v>97</v>
      </c>
      <c r="AW3" s="15">
        <v>146</v>
      </c>
      <c r="AX3" s="15">
        <v>7</v>
      </c>
      <c r="AY3" s="15">
        <v>7</v>
      </c>
      <c r="AZ3" s="15">
        <v>7</v>
      </c>
      <c r="BA3" s="15">
        <v>7</v>
      </c>
      <c r="BB3" s="15">
        <v>6</v>
      </c>
      <c r="BC3" s="15">
        <v>6</v>
      </c>
      <c r="BD3" s="15">
        <v>6</v>
      </c>
      <c r="BE3" s="15">
        <v>6</v>
      </c>
      <c r="BF3" s="15">
        <v>7</v>
      </c>
      <c r="BG3" s="15">
        <v>7</v>
      </c>
      <c r="BH3" s="15">
        <v>7</v>
      </c>
      <c r="BI3" s="15">
        <v>7</v>
      </c>
      <c r="BJ3" s="15">
        <v>6</v>
      </c>
      <c r="BK3" s="15">
        <v>6</v>
      </c>
      <c r="BL3" s="15">
        <v>6</v>
      </c>
      <c r="BM3" s="15">
        <v>7</v>
      </c>
      <c r="BN3" s="15">
        <v>6</v>
      </c>
      <c r="BO3" s="15">
        <v>7</v>
      </c>
      <c r="BP3" s="15">
        <v>7</v>
      </c>
      <c r="BQ3" s="32">
        <v>7</v>
      </c>
      <c r="BR3" s="15">
        <v>7</v>
      </c>
      <c r="BS3" s="15">
        <v>7</v>
      </c>
      <c r="BT3" s="15" t="s">
        <v>98</v>
      </c>
      <c r="BU3" s="15" t="s">
        <v>99</v>
      </c>
    </row>
    <row r="4" spans="1:144">
      <c r="B4" s="1">
        <v>3</v>
      </c>
      <c r="C4" t="s">
        <v>100</v>
      </c>
      <c r="D4" s="36">
        <v>39</v>
      </c>
      <c r="E4" s="36">
        <v>26</v>
      </c>
      <c r="F4" t="s">
        <v>70</v>
      </c>
      <c r="G4" t="s">
        <v>88</v>
      </c>
      <c r="H4" t="s">
        <v>101</v>
      </c>
      <c r="I4" t="s">
        <v>102</v>
      </c>
      <c r="J4" t="s">
        <v>103</v>
      </c>
      <c r="K4" t="s">
        <v>104</v>
      </c>
      <c r="L4" t="s">
        <v>92</v>
      </c>
      <c r="M4" t="s">
        <v>77</v>
      </c>
      <c r="N4" t="s">
        <v>77</v>
      </c>
      <c r="O4" t="s">
        <v>78</v>
      </c>
      <c r="P4" t="s">
        <v>78</v>
      </c>
      <c r="Q4" t="s">
        <v>77</v>
      </c>
      <c r="R4" t="s">
        <v>78</v>
      </c>
      <c r="S4" t="s">
        <v>79</v>
      </c>
      <c r="T4" t="s">
        <v>77</v>
      </c>
      <c r="U4" s="34"/>
      <c r="V4" s="15" t="s">
        <v>105</v>
      </c>
      <c r="W4" s="14">
        <v>129</v>
      </c>
      <c r="X4" s="14">
        <v>5</v>
      </c>
      <c r="Y4" s="14">
        <v>5</v>
      </c>
      <c r="Z4" s="14">
        <v>6</v>
      </c>
      <c r="AA4" s="14">
        <v>5</v>
      </c>
      <c r="AB4" s="14">
        <v>6</v>
      </c>
      <c r="AC4" s="14">
        <v>6</v>
      </c>
      <c r="AD4" s="14">
        <v>6</v>
      </c>
      <c r="AE4" s="14">
        <v>5</v>
      </c>
      <c r="AF4" s="14">
        <v>6</v>
      </c>
      <c r="AG4" s="14">
        <v>6</v>
      </c>
      <c r="AH4" s="15">
        <v>7</v>
      </c>
      <c r="AI4" s="14">
        <v>5</v>
      </c>
      <c r="AJ4" s="14">
        <v>6</v>
      </c>
      <c r="AK4" s="15">
        <v>7</v>
      </c>
      <c r="AL4" s="14">
        <v>5</v>
      </c>
      <c r="AM4" s="14">
        <v>6</v>
      </c>
      <c r="AN4" s="15">
        <v>7</v>
      </c>
      <c r="AO4" s="14">
        <v>6</v>
      </c>
      <c r="AP4" s="15">
        <v>7</v>
      </c>
      <c r="AQ4" s="35">
        <v>5</v>
      </c>
      <c r="AR4" s="14">
        <v>6</v>
      </c>
      <c r="AS4" s="14">
        <v>6</v>
      </c>
      <c r="AT4" s="15" t="s">
        <v>106</v>
      </c>
      <c r="AU4" s="15" t="s">
        <v>107</v>
      </c>
      <c r="AW4" s="14">
        <v>141</v>
      </c>
      <c r="AX4" s="14">
        <v>6</v>
      </c>
      <c r="AY4" s="14">
        <v>6</v>
      </c>
      <c r="AZ4" s="14">
        <v>5</v>
      </c>
      <c r="BA4" s="14">
        <v>6</v>
      </c>
      <c r="BB4" s="15">
        <v>7</v>
      </c>
      <c r="BC4" s="14">
        <v>6</v>
      </c>
      <c r="BD4" s="14">
        <v>6</v>
      </c>
      <c r="BE4" s="14">
        <v>6</v>
      </c>
      <c r="BF4" s="14">
        <v>5</v>
      </c>
      <c r="BG4" s="14">
        <v>6</v>
      </c>
      <c r="BH4" s="15">
        <v>7</v>
      </c>
      <c r="BI4" s="15">
        <v>7</v>
      </c>
      <c r="BJ4" s="15">
        <v>7</v>
      </c>
      <c r="BK4" s="15">
        <v>7</v>
      </c>
      <c r="BL4" s="15">
        <v>7</v>
      </c>
      <c r="BM4" s="14">
        <v>6</v>
      </c>
      <c r="BN4" s="15">
        <v>7</v>
      </c>
      <c r="BO4" s="15">
        <v>7</v>
      </c>
      <c r="BP4" s="15">
        <v>7</v>
      </c>
      <c r="BQ4" s="35">
        <v>6</v>
      </c>
      <c r="BR4" s="15">
        <v>7</v>
      </c>
      <c r="BS4" s="15">
        <v>7</v>
      </c>
      <c r="BT4" s="15" t="s">
        <v>108</v>
      </c>
      <c r="BU4" s="15" t="s">
        <v>109</v>
      </c>
    </row>
    <row r="5" customFormat="1" spans="1:144">
      <c r="A5" s="33"/>
      <c r="B5" s="1">
        <v>4</v>
      </c>
      <c r="C5" t="s">
        <v>110</v>
      </c>
      <c r="D5" s="36">
        <v>31</v>
      </c>
      <c r="E5" s="36">
        <v>18</v>
      </c>
      <c r="F5" t="s">
        <v>87</v>
      </c>
      <c r="G5" t="s">
        <v>71</v>
      </c>
      <c r="H5" t="s">
        <v>101</v>
      </c>
      <c r="I5" t="s">
        <v>90</v>
      </c>
      <c r="J5" t="s">
        <v>74</v>
      </c>
      <c r="K5" t="s">
        <v>111</v>
      </c>
      <c r="L5" t="s">
        <v>92</v>
      </c>
      <c r="M5" t="s">
        <v>93</v>
      </c>
      <c r="N5" t="s">
        <v>77</v>
      </c>
      <c r="O5" t="s">
        <v>77</v>
      </c>
      <c r="P5" t="s">
        <v>78</v>
      </c>
      <c r="Q5" t="s">
        <v>77</v>
      </c>
      <c r="R5" t="s">
        <v>78</v>
      </c>
      <c r="S5" t="s">
        <v>93</v>
      </c>
      <c r="T5" t="s">
        <v>80</v>
      </c>
      <c r="U5" s="33"/>
      <c r="V5" t="s">
        <v>112</v>
      </c>
      <c r="W5">
        <v>110</v>
      </c>
      <c r="X5">
        <v>7</v>
      </c>
      <c r="Y5" t="s">
        <v>95</v>
      </c>
      <c r="Z5" t="s">
        <v>95</v>
      </c>
      <c r="AA5">
        <v>7</v>
      </c>
      <c r="AB5">
        <v>7</v>
      </c>
      <c r="AC5">
        <v>7</v>
      </c>
      <c r="AD5">
        <v>5</v>
      </c>
      <c r="AE5">
        <v>4</v>
      </c>
      <c r="AF5">
        <v>5</v>
      </c>
      <c r="AG5">
        <v>6</v>
      </c>
      <c r="AH5">
        <v>6</v>
      </c>
      <c r="AI5">
        <v>3</v>
      </c>
      <c r="AJ5">
        <v>7</v>
      </c>
      <c r="AK5">
        <v>6</v>
      </c>
      <c r="AL5">
        <v>5</v>
      </c>
      <c r="AM5">
        <v>6</v>
      </c>
      <c r="AN5">
        <v>7</v>
      </c>
      <c r="AO5">
        <v>6</v>
      </c>
      <c r="AP5">
        <v>7</v>
      </c>
      <c r="AQ5" s="27">
        <v>6</v>
      </c>
      <c r="AR5">
        <v>5</v>
      </c>
      <c r="AS5">
        <v>5</v>
      </c>
      <c r="AT5" t="s">
        <v>106</v>
      </c>
      <c r="AU5" t="s">
        <v>99</v>
      </c>
      <c r="AV5" s="33"/>
      <c r="AW5" s="15">
        <v>135</v>
      </c>
      <c r="AX5" s="15">
        <v>6</v>
      </c>
      <c r="AY5" s="15">
        <v>7</v>
      </c>
      <c r="AZ5" s="15" t="s">
        <v>95</v>
      </c>
      <c r="BA5" s="15">
        <v>6</v>
      </c>
      <c r="BB5" s="15">
        <v>7</v>
      </c>
      <c r="BC5" s="15">
        <v>7</v>
      </c>
      <c r="BD5" s="15">
        <v>6</v>
      </c>
      <c r="BE5" s="15">
        <v>7</v>
      </c>
      <c r="BF5" s="15">
        <v>5</v>
      </c>
      <c r="BG5" s="15">
        <v>6</v>
      </c>
      <c r="BH5" s="15">
        <v>7</v>
      </c>
      <c r="BI5" s="15">
        <v>6</v>
      </c>
      <c r="BJ5" s="15">
        <v>6</v>
      </c>
      <c r="BK5" s="15">
        <v>7</v>
      </c>
      <c r="BL5" s="15">
        <v>7</v>
      </c>
      <c r="BM5" s="15">
        <v>7</v>
      </c>
      <c r="BN5" s="15">
        <v>7</v>
      </c>
      <c r="BO5" s="15">
        <v>6</v>
      </c>
      <c r="BP5" s="15">
        <v>6</v>
      </c>
      <c r="BQ5" s="32">
        <v>6</v>
      </c>
      <c r="BR5" s="15">
        <v>7</v>
      </c>
      <c r="BS5" s="15">
        <v>6</v>
      </c>
      <c r="BT5" s="15" t="s">
        <v>113</v>
      </c>
      <c r="BU5" s="15" t="s">
        <v>114</v>
      </c>
    </row>
    <row r="6" spans="1:144">
      <c r="B6" s="17">
        <v>5</v>
      </c>
      <c r="C6" t="s">
        <v>115</v>
      </c>
      <c r="D6" s="36">
        <v>35</v>
      </c>
      <c r="E6" s="36">
        <v>18</v>
      </c>
      <c r="F6" t="s">
        <v>70</v>
      </c>
      <c r="G6" t="s">
        <v>71</v>
      </c>
      <c r="H6" t="s">
        <v>89</v>
      </c>
      <c r="I6" t="s">
        <v>102</v>
      </c>
      <c r="J6" t="s">
        <v>103</v>
      </c>
      <c r="K6" t="s">
        <v>116</v>
      </c>
      <c r="L6" t="s">
        <v>92</v>
      </c>
      <c r="M6" t="s">
        <v>77</v>
      </c>
      <c r="N6" t="s">
        <v>77</v>
      </c>
      <c r="O6" t="s">
        <v>77</v>
      </c>
      <c r="P6" t="s">
        <v>77</v>
      </c>
      <c r="Q6" t="s">
        <v>78</v>
      </c>
      <c r="R6" t="s">
        <v>78</v>
      </c>
      <c r="S6" t="s">
        <v>80</v>
      </c>
      <c r="T6" t="s">
        <v>79</v>
      </c>
      <c r="U6" s="34"/>
      <c r="V6" s="15" t="s">
        <v>117</v>
      </c>
      <c r="W6" s="14">
        <v>108</v>
      </c>
      <c r="X6" s="14">
        <v>3</v>
      </c>
      <c r="Y6" s="14">
        <v>3</v>
      </c>
      <c r="Z6" s="14">
        <v>5</v>
      </c>
      <c r="AA6" s="15">
        <v>4</v>
      </c>
      <c r="AB6" s="15">
        <v>4</v>
      </c>
      <c r="AC6" s="15">
        <v>4</v>
      </c>
      <c r="AD6" s="14">
        <v>5</v>
      </c>
      <c r="AE6" s="14">
        <v>5</v>
      </c>
      <c r="AF6" s="15">
        <v>4</v>
      </c>
      <c r="AG6" s="15">
        <v>4</v>
      </c>
      <c r="AH6" s="15">
        <v>7</v>
      </c>
      <c r="AI6" s="15">
        <v>7</v>
      </c>
      <c r="AJ6" s="14">
        <v>5</v>
      </c>
      <c r="AK6" s="14">
        <v>5</v>
      </c>
      <c r="AL6" s="15">
        <v>7</v>
      </c>
      <c r="AM6" s="15">
        <v>7</v>
      </c>
      <c r="AN6" s="14">
        <v>5</v>
      </c>
      <c r="AO6" s="14">
        <v>5</v>
      </c>
      <c r="AP6" s="14">
        <v>6</v>
      </c>
      <c r="AQ6" s="35">
        <v>5</v>
      </c>
      <c r="AR6" s="15">
        <v>4</v>
      </c>
      <c r="AS6" s="15">
        <v>4</v>
      </c>
      <c r="AT6" s="15" t="s">
        <v>118</v>
      </c>
      <c r="AU6" s="15" t="s">
        <v>119</v>
      </c>
      <c r="AW6" s="14">
        <v>118</v>
      </c>
      <c r="AX6" s="15">
        <v>4</v>
      </c>
      <c r="AY6" s="14">
        <v>3</v>
      </c>
      <c r="AZ6" s="14">
        <v>6</v>
      </c>
      <c r="BA6" s="14">
        <v>5</v>
      </c>
      <c r="BB6" s="14">
        <v>5</v>
      </c>
      <c r="BC6" s="14">
        <v>5</v>
      </c>
      <c r="BD6" s="14">
        <v>5</v>
      </c>
      <c r="BE6" s="15">
        <v>4</v>
      </c>
      <c r="BF6" s="15">
        <v>4</v>
      </c>
      <c r="BG6" s="14">
        <v>5</v>
      </c>
      <c r="BH6" s="15">
        <v>7</v>
      </c>
      <c r="BI6" s="15">
        <v>7</v>
      </c>
      <c r="BJ6" s="14">
        <v>5</v>
      </c>
      <c r="BK6" s="14">
        <v>5</v>
      </c>
      <c r="BL6" s="15">
        <v>7</v>
      </c>
      <c r="BM6" s="14">
        <v>5</v>
      </c>
      <c r="BN6" s="15">
        <v>7</v>
      </c>
      <c r="BO6" s="15">
        <v>7</v>
      </c>
      <c r="BP6" s="15">
        <v>7</v>
      </c>
      <c r="BQ6" s="35">
        <v>5</v>
      </c>
      <c r="BR6" s="14">
        <v>5</v>
      </c>
      <c r="BS6" s="14">
        <v>5</v>
      </c>
      <c r="BT6" s="15" t="s">
        <v>120</v>
      </c>
      <c r="BU6" s="15" t="s">
        <v>121</v>
      </c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</row>
    <row r="7" s="43" customFormat="1" spans="1:144">
      <c r="A7" s="33"/>
      <c r="B7" s="1">
        <v>6</v>
      </c>
      <c r="C7" t="s">
        <v>122</v>
      </c>
      <c r="D7" s="36">
        <v>33</v>
      </c>
      <c r="E7" s="36">
        <v>20</v>
      </c>
      <c r="F7" t="s">
        <v>70</v>
      </c>
      <c r="G7" t="s">
        <v>71</v>
      </c>
      <c r="H7" t="s">
        <v>101</v>
      </c>
      <c r="I7" t="s">
        <v>73</v>
      </c>
      <c r="J7" t="s">
        <v>123</v>
      </c>
      <c r="K7" t="s">
        <v>124</v>
      </c>
      <c r="L7" t="s">
        <v>125</v>
      </c>
      <c r="M7" t="s">
        <v>79</v>
      </c>
      <c r="N7" t="s">
        <v>77</v>
      </c>
      <c r="O7" t="s">
        <v>78</v>
      </c>
      <c r="P7" t="s">
        <v>77</v>
      </c>
      <c r="Q7" t="s">
        <v>78</v>
      </c>
      <c r="R7" t="s">
        <v>77</v>
      </c>
      <c r="S7" t="s">
        <v>80</v>
      </c>
      <c r="T7" t="s">
        <v>77</v>
      </c>
      <c r="U7" s="34"/>
      <c r="V7" s="15" t="s">
        <v>126</v>
      </c>
      <c r="W7" s="14">
        <v>102</v>
      </c>
      <c r="X7" s="15">
        <v>4</v>
      </c>
      <c r="Y7" s="15">
        <v>4</v>
      </c>
      <c r="Z7" s="14">
        <v>3</v>
      </c>
      <c r="AA7" s="14">
        <v>5</v>
      </c>
      <c r="AB7" s="14">
        <v>6</v>
      </c>
      <c r="AC7" s="14">
        <v>6</v>
      </c>
      <c r="AD7" s="14">
        <v>6</v>
      </c>
      <c r="AE7" s="14">
        <v>5</v>
      </c>
      <c r="AF7" s="14">
        <v>6</v>
      </c>
      <c r="AG7" s="15">
        <v>4</v>
      </c>
      <c r="AH7" s="15">
        <v>4</v>
      </c>
      <c r="AI7" s="14">
        <v>5</v>
      </c>
      <c r="AJ7" s="14">
        <v>5</v>
      </c>
      <c r="AK7" s="14">
        <v>3</v>
      </c>
      <c r="AL7" s="14">
        <v>3</v>
      </c>
      <c r="AM7" s="14">
        <v>5</v>
      </c>
      <c r="AN7" s="15">
        <v>4</v>
      </c>
      <c r="AO7" s="15">
        <v>4</v>
      </c>
      <c r="AP7" s="14">
        <v>3</v>
      </c>
      <c r="AQ7" s="35">
        <v>5</v>
      </c>
      <c r="AR7" s="14">
        <v>6</v>
      </c>
      <c r="AS7" s="14">
        <v>6</v>
      </c>
      <c r="AT7" s="15" t="s">
        <v>127</v>
      </c>
      <c r="AU7" s="15" t="s">
        <v>128</v>
      </c>
      <c r="AV7" s="33"/>
      <c r="AW7" s="14">
        <v>113</v>
      </c>
      <c r="AX7" s="15">
        <v>4</v>
      </c>
      <c r="AY7" s="14">
        <v>5</v>
      </c>
      <c r="AZ7" s="14">
        <v>5</v>
      </c>
      <c r="BA7" s="14">
        <v>5</v>
      </c>
      <c r="BB7" s="14">
        <v>6</v>
      </c>
      <c r="BC7" s="14">
        <v>6</v>
      </c>
      <c r="BD7" s="15">
        <v>7</v>
      </c>
      <c r="BE7" s="15">
        <v>4</v>
      </c>
      <c r="BF7" s="14">
        <v>5</v>
      </c>
      <c r="BG7" s="14">
        <v>5</v>
      </c>
      <c r="BH7" s="14">
        <v>5</v>
      </c>
      <c r="BI7" s="15">
        <v>4</v>
      </c>
      <c r="BJ7" s="15">
        <v>4</v>
      </c>
      <c r="BK7" s="14">
        <v>3</v>
      </c>
      <c r="BL7" s="14">
        <v>5</v>
      </c>
      <c r="BM7" s="14">
        <v>6</v>
      </c>
      <c r="BN7" s="14">
        <v>5</v>
      </c>
      <c r="BO7" s="14">
        <v>6</v>
      </c>
      <c r="BP7" s="14">
        <v>6</v>
      </c>
      <c r="BQ7" s="35">
        <v>6</v>
      </c>
      <c r="BR7" s="15">
        <v>7</v>
      </c>
      <c r="BS7" s="15">
        <v>4</v>
      </c>
      <c r="BT7" s="15" t="s">
        <v>129</v>
      </c>
      <c r="BU7" s="15" t="s">
        <v>130</v>
      </c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</row>
    <row r="8" spans="1:144">
      <c r="B8" s="17">
        <v>7</v>
      </c>
      <c r="C8" t="s">
        <v>110</v>
      </c>
      <c r="D8" s="36">
        <v>39</v>
      </c>
      <c r="E8" s="36">
        <v>20</v>
      </c>
      <c r="F8" t="s">
        <v>70</v>
      </c>
      <c r="G8" t="s">
        <v>71</v>
      </c>
      <c r="H8" s="8" t="s">
        <v>89</v>
      </c>
      <c r="I8" t="s">
        <v>102</v>
      </c>
      <c r="J8" t="s">
        <v>74</v>
      </c>
      <c r="K8" t="s">
        <v>131</v>
      </c>
      <c r="L8" t="s">
        <v>125</v>
      </c>
      <c r="M8" t="s">
        <v>77</v>
      </c>
      <c r="N8" t="s">
        <v>77</v>
      </c>
      <c r="O8" t="s">
        <v>78</v>
      </c>
      <c r="P8" t="s">
        <v>78</v>
      </c>
      <c r="Q8" t="s">
        <v>77</v>
      </c>
      <c r="R8" t="s">
        <v>78</v>
      </c>
      <c r="S8" t="s">
        <v>79</v>
      </c>
      <c r="T8" t="s">
        <v>78</v>
      </c>
      <c r="U8" s="34"/>
      <c r="V8" s="15" t="s">
        <v>132</v>
      </c>
      <c r="W8" s="14">
        <v>114</v>
      </c>
      <c r="X8" s="14">
        <v>6</v>
      </c>
      <c r="Y8" s="14">
        <v>6</v>
      </c>
      <c r="Z8" s="14">
        <v>6</v>
      </c>
      <c r="AA8" s="14">
        <v>5</v>
      </c>
      <c r="AB8" s="15">
        <v>4</v>
      </c>
      <c r="AC8" s="14">
        <v>5</v>
      </c>
      <c r="AD8" s="14">
        <v>5</v>
      </c>
      <c r="AE8" s="14">
        <v>5</v>
      </c>
      <c r="AF8" s="14">
        <v>5</v>
      </c>
      <c r="AG8" s="14">
        <v>5</v>
      </c>
      <c r="AH8" s="14">
        <v>6</v>
      </c>
      <c r="AI8" s="15">
        <v>4</v>
      </c>
      <c r="AJ8" s="14">
        <v>6</v>
      </c>
      <c r="AK8" s="14">
        <v>6</v>
      </c>
      <c r="AL8" s="14">
        <v>6</v>
      </c>
      <c r="AM8" s="14">
        <v>6</v>
      </c>
      <c r="AN8" s="14">
        <v>6</v>
      </c>
      <c r="AO8" s="14">
        <v>6</v>
      </c>
      <c r="AP8" s="15">
        <v>7</v>
      </c>
      <c r="AQ8" s="35">
        <v>3</v>
      </c>
      <c r="AR8" s="14">
        <v>3</v>
      </c>
      <c r="AS8" s="14">
        <v>3</v>
      </c>
      <c r="AT8" s="15" t="s">
        <v>118</v>
      </c>
      <c r="AU8" s="15" t="s">
        <v>99</v>
      </c>
      <c r="AW8" s="14">
        <v>154</v>
      </c>
      <c r="AX8" s="15">
        <v>7</v>
      </c>
      <c r="AY8" s="15">
        <v>7</v>
      </c>
      <c r="AZ8" s="15">
        <v>7</v>
      </c>
      <c r="BA8" s="15">
        <v>7</v>
      </c>
      <c r="BB8" s="15">
        <v>7</v>
      </c>
      <c r="BC8" s="15">
        <v>7</v>
      </c>
      <c r="BD8" s="15">
        <v>7</v>
      </c>
      <c r="BE8" s="15">
        <v>7</v>
      </c>
      <c r="BF8" s="15">
        <v>7</v>
      </c>
      <c r="BG8" s="15">
        <v>7</v>
      </c>
      <c r="BH8" s="15">
        <v>7</v>
      </c>
      <c r="BI8" s="15">
        <v>7</v>
      </c>
      <c r="BJ8" s="15">
        <v>7</v>
      </c>
      <c r="BK8" s="15">
        <v>7</v>
      </c>
      <c r="BL8" s="15">
        <v>7</v>
      </c>
      <c r="BM8" s="15">
        <v>7</v>
      </c>
      <c r="BN8" s="15">
        <v>7</v>
      </c>
      <c r="BO8" s="15">
        <v>7</v>
      </c>
      <c r="BP8" s="15">
        <v>7</v>
      </c>
      <c r="BQ8" s="32">
        <v>7</v>
      </c>
      <c r="BR8" s="15">
        <v>7</v>
      </c>
      <c r="BS8" s="15">
        <v>7</v>
      </c>
      <c r="BT8" s="15" t="s">
        <v>98</v>
      </c>
      <c r="BU8" s="15" t="s">
        <v>99</v>
      </c>
    </row>
    <row r="9" spans="1:144">
      <c r="B9" s="17">
        <v>8</v>
      </c>
      <c r="C9" s="3" t="s">
        <v>133</v>
      </c>
      <c r="D9" s="39">
        <v>40</v>
      </c>
      <c r="E9" s="39">
        <v>20</v>
      </c>
      <c r="F9" s="3" t="s">
        <v>87</v>
      </c>
      <c r="G9" s="3" t="s">
        <v>71</v>
      </c>
      <c r="H9" s="3" t="s">
        <v>89</v>
      </c>
      <c r="I9" s="3" t="s">
        <v>102</v>
      </c>
      <c r="J9" s="3" t="s">
        <v>103</v>
      </c>
      <c r="K9" s="3" t="s">
        <v>116</v>
      </c>
      <c r="L9" s="3" t="s">
        <v>92</v>
      </c>
      <c r="M9" s="3" t="s">
        <v>78</v>
      </c>
      <c r="N9" s="3" t="s">
        <v>77</v>
      </c>
      <c r="O9" s="3" t="s">
        <v>78</v>
      </c>
      <c r="P9" s="3" t="s">
        <v>77</v>
      </c>
      <c r="Q9" s="3" t="s">
        <v>77</v>
      </c>
      <c r="R9" s="3" t="s">
        <v>78</v>
      </c>
      <c r="S9" s="3" t="s">
        <v>79</v>
      </c>
      <c r="T9" s="3" t="s">
        <v>78</v>
      </c>
      <c r="U9" s="34"/>
      <c r="V9" s="15" t="s">
        <v>134</v>
      </c>
      <c r="W9" s="14">
        <v>145</v>
      </c>
      <c r="X9" s="14">
        <v>5</v>
      </c>
      <c r="Y9" s="14">
        <v>6</v>
      </c>
      <c r="Z9" s="15">
        <v>7</v>
      </c>
      <c r="AA9" s="14">
        <v>6</v>
      </c>
      <c r="AB9" s="15">
        <v>7</v>
      </c>
      <c r="AC9" s="14">
        <v>6</v>
      </c>
      <c r="AD9" s="14">
        <v>6</v>
      </c>
      <c r="AE9" s="15">
        <v>7</v>
      </c>
      <c r="AF9" s="14">
        <v>5</v>
      </c>
      <c r="AG9" s="15">
        <v>7</v>
      </c>
      <c r="AH9" s="15">
        <v>7</v>
      </c>
      <c r="AI9" s="14">
        <v>6</v>
      </c>
      <c r="AJ9" s="15">
        <v>7</v>
      </c>
      <c r="AK9" s="15">
        <v>7</v>
      </c>
      <c r="AL9" s="15">
        <v>7</v>
      </c>
      <c r="AM9" s="15">
        <v>7</v>
      </c>
      <c r="AN9" s="15">
        <v>7</v>
      </c>
      <c r="AO9" s="15">
        <v>7</v>
      </c>
      <c r="AP9" s="15">
        <v>7</v>
      </c>
      <c r="AQ9" s="32">
        <v>7</v>
      </c>
      <c r="AR9" s="15">
        <v>7</v>
      </c>
      <c r="AS9" s="15">
        <v>7</v>
      </c>
      <c r="AT9" s="15" t="s">
        <v>135</v>
      </c>
      <c r="AU9" s="15" t="s">
        <v>136</v>
      </c>
      <c r="AW9" s="14">
        <v>131</v>
      </c>
      <c r="AX9" s="14">
        <v>6</v>
      </c>
      <c r="AY9" s="14">
        <v>5</v>
      </c>
      <c r="AZ9" s="15">
        <v>7</v>
      </c>
      <c r="BA9" s="15">
        <v>7</v>
      </c>
      <c r="BB9" s="14">
        <v>5</v>
      </c>
      <c r="BC9" s="14">
        <v>6</v>
      </c>
      <c r="BD9" s="14">
        <v>6</v>
      </c>
      <c r="BE9" s="15">
        <v>7</v>
      </c>
      <c r="BF9" s="15">
        <v>7</v>
      </c>
      <c r="BG9" s="15">
        <v>7</v>
      </c>
      <c r="BH9" s="15">
        <v>7</v>
      </c>
      <c r="BI9" s="15">
        <v>4</v>
      </c>
      <c r="BJ9" s="14">
        <v>6</v>
      </c>
      <c r="BK9" s="14">
        <v>5</v>
      </c>
      <c r="BL9" s="14">
        <v>6</v>
      </c>
      <c r="BM9" s="15">
        <v>4</v>
      </c>
      <c r="BN9" s="14">
        <v>5</v>
      </c>
      <c r="BO9" s="15">
        <v>7</v>
      </c>
      <c r="BP9" s="14">
        <v>6</v>
      </c>
      <c r="BQ9" s="35">
        <v>6</v>
      </c>
      <c r="BR9" s="14">
        <v>6</v>
      </c>
      <c r="BS9" s="14">
        <v>6</v>
      </c>
      <c r="BT9" s="15" t="s">
        <v>84</v>
      </c>
      <c r="BU9" s="15" t="s">
        <v>137</v>
      </c>
    </row>
    <row r="10" spans="1:144">
      <c r="B10" s="1">
        <v>9</v>
      </c>
      <c r="C10" t="s">
        <v>138</v>
      </c>
      <c r="D10" s="36">
        <v>32</v>
      </c>
      <c r="E10" s="36">
        <v>21</v>
      </c>
      <c r="F10" t="s">
        <v>70</v>
      </c>
      <c r="G10" t="s">
        <v>71</v>
      </c>
      <c r="H10" t="s">
        <v>139</v>
      </c>
      <c r="I10" t="s">
        <v>102</v>
      </c>
      <c r="J10" t="s">
        <v>103</v>
      </c>
      <c r="K10" t="s">
        <v>124</v>
      </c>
      <c r="L10" t="s">
        <v>92</v>
      </c>
      <c r="M10" t="s">
        <v>79</v>
      </c>
      <c r="N10" t="s">
        <v>77</v>
      </c>
      <c r="O10" t="s">
        <v>77</v>
      </c>
      <c r="P10" t="s">
        <v>77</v>
      </c>
      <c r="Q10" t="s">
        <v>79</v>
      </c>
      <c r="R10" t="s">
        <v>77</v>
      </c>
      <c r="S10" t="s">
        <v>93</v>
      </c>
      <c r="T10" t="s">
        <v>79</v>
      </c>
      <c r="U10" s="34"/>
      <c r="V10" s="15" t="s">
        <v>140</v>
      </c>
      <c r="W10" s="14">
        <v>144</v>
      </c>
      <c r="X10" s="15">
        <v>7</v>
      </c>
      <c r="Y10" s="15">
        <v>7</v>
      </c>
      <c r="Z10" s="15">
        <v>7</v>
      </c>
      <c r="AA10" s="15">
        <v>7</v>
      </c>
      <c r="AB10" s="15">
        <v>7</v>
      </c>
      <c r="AC10" s="14">
        <v>6</v>
      </c>
      <c r="AD10" s="15">
        <v>7</v>
      </c>
      <c r="AE10" s="14">
        <v>6</v>
      </c>
      <c r="AF10" s="14">
        <v>5</v>
      </c>
      <c r="AG10" s="14">
        <v>6</v>
      </c>
      <c r="AH10" s="15">
        <v>7</v>
      </c>
      <c r="AI10" s="15">
        <v>7</v>
      </c>
      <c r="AJ10" s="14">
        <v>6</v>
      </c>
      <c r="AK10" s="15">
        <v>7</v>
      </c>
      <c r="AL10" s="15">
        <v>7</v>
      </c>
      <c r="AM10" s="15">
        <v>7</v>
      </c>
      <c r="AN10" s="15">
        <v>7</v>
      </c>
      <c r="AO10" s="14">
        <v>6</v>
      </c>
      <c r="AP10" s="14">
        <v>6</v>
      </c>
      <c r="AQ10" s="35">
        <v>6</v>
      </c>
      <c r="AR10" s="15">
        <v>7</v>
      </c>
      <c r="AS10" s="14">
        <v>6</v>
      </c>
      <c r="AT10" s="15" t="s">
        <v>141</v>
      </c>
      <c r="AU10" s="15" t="s">
        <v>142</v>
      </c>
      <c r="AW10" s="14">
        <v>146</v>
      </c>
      <c r="AX10" s="15">
        <v>7</v>
      </c>
      <c r="AY10" s="14">
        <v>6</v>
      </c>
      <c r="AZ10" s="15">
        <v>7</v>
      </c>
      <c r="BA10" s="15">
        <v>7</v>
      </c>
      <c r="BB10" s="15">
        <v>7</v>
      </c>
      <c r="BC10" s="14">
        <v>6</v>
      </c>
      <c r="BD10" s="15">
        <v>7</v>
      </c>
      <c r="BE10" s="15">
        <v>7</v>
      </c>
      <c r="BF10" s="14">
        <v>6</v>
      </c>
      <c r="BG10" s="15">
        <v>7</v>
      </c>
      <c r="BH10" s="15">
        <v>7</v>
      </c>
      <c r="BI10" s="14">
        <v>5</v>
      </c>
      <c r="BJ10" s="14">
        <v>6</v>
      </c>
      <c r="BK10" s="15">
        <v>7</v>
      </c>
      <c r="BL10" s="15">
        <v>7</v>
      </c>
      <c r="BM10" s="14">
        <v>6</v>
      </c>
      <c r="BN10" s="15">
        <v>7</v>
      </c>
      <c r="BO10" s="15">
        <v>7</v>
      </c>
      <c r="BP10" s="15">
        <v>7</v>
      </c>
      <c r="BQ10" s="32">
        <v>7</v>
      </c>
      <c r="BR10" s="15">
        <v>7</v>
      </c>
      <c r="BS10" s="14">
        <v>6</v>
      </c>
      <c r="BT10" s="15" t="s">
        <v>143</v>
      </c>
      <c r="BU10" s="15" t="s">
        <v>144</v>
      </c>
    </row>
    <row r="11" spans="1:144">
      <c r="B11" s="1">
        <v>10</v>
      </c>
      <c r="C11" t="s">
        <v>145</v>
      </c>
      <c r="D11" s="36">
        <v>37</v>
      </c>
      <c r="E11" s="36">
        <v>23</v>
      </c>
      <c r="F11" t="s">
        <v>70</v>
      </c>
      <c r="G11" t="s">
        <v>88</v>
      </c>
      <c r="H11" t="s">
        <v>101</v>
      </c>
      <c r="I11" t="s">
        <v>90</v>
      </c>
      <c r="J11" t="s">
        <v>74</v>
      </c>
      <c r="K11" t="s">
        <v>116</v>
      </c>
      <c r="L11" t="s">
        <v>92</v>
      </c>
      <c r="M11" t="s">
        <v>78</v>
      </c>
      <c r="N11" t="s">
        <v>78</v>
      </c>
      <c r="O11" t="s">
        <v>78</v>
      </c>
      <c r="P11" t="s">
        <v>77</v>
      </c>
      <c r="Q11" t="s">
        <v>77</v>
      </c>
      <c r="R11" t="s">
        <v>79</v>
      </c>
      <c r="S11" t="s">
        <v>93</v>
      </c>
      <c r="T11" t="s">
        <v>78</v>
      </c>
      <c r="U11" s="34"/>
      <c r="V11" s="15" t="s">
        <v>146</v>
      </c>
      <c r="W11" s="14">
        <v>112</v>
      </c>
      <c r="X11" s="14">
        <v>6</v>
      </c>
      <c r="Y11" s="15">
        <v>4</v>
      </c>
      <c r="Z11" s="14">
        <v>5</v>
      </c>
      <c r="AA11" s="15">
        <v>7</v>
      </c>
      <c r="AB11" s="14">
        <v>5</v>
      </c>
      <c r="AC11" s="15">
        <v>7</v>
      </c>
      <c r="AD11" s="14">
        <v>5</v>
      </c>
      <c r="AE11" s="15">
        <v>7</v>
      </c>
      <c r="AF11" s="15">
        <v>4</v>
      </c>
      <c r="AG11" s="14">
        <v>6</v>
      </c>
      <c r="AH11" s="15">
        <v>7</v>
      </c>
      <c r="AI11" s="15">
        <v>1</v>
      </c>
      <c r="AJ11" s="14">
        <v>5</v>
      </c>
      <c r="AK11" s="14">
        <v>3</v>
      </c>
      <c r="AL11" s="14">
        <v>5</v>
      </c>
      <c r="AM11" s="14">
        <v>3</v>
      </c>
      <c r="AN11" s="15">
        <v>4</v>
      </c>
      <c r="AO11" s="14">
        <v>6</v>
      </c>
      <c r="AP11" s="14">
        <v>5</v>
      </c>
      <c r="AQ11" s="35">
        <v>6</v>
      </c>
      <c r="AR11" s="14">
        <v>6</v>
      </c>
      <c r="AS11" s="14">
        <v>5</v>
      </c>
      <c r="AT11" s="15" t="s">
        <v>147</v>
      </c>
      <c r="AU11" s="15" t="s">
        <v>99</v>
      </c>
      <c r="AW11" s="14">
        <v>111</v>
      </c>
      <c r="AX11" s="14">
        <v>2</v>
      </c>
      <c r="AY11" s="14">
        <v>5</v>
      </c>
      <c r="AZ11" s="14">
        <v>6</v>
      </c>
      <c r="BA11" s="14">
        <v>6</v>
      </c>
      <c r="BB11" s="15">
        <v>7</v>
      </c>
      <c r="BC11" s="14">
        <v>3</v>
      </c>
      <c r="BD11" s="15">
        <v>7</v>
      </c>
      <c r="BE11" s="14">
        <v>3</v>
      </c>
      <c r="BF11" s="14">
        <v>6</v>
      </c>
      <c r="BG11" s="15">
        <v>7</v>
      </c>
      <c r="BH11" s="14">
        <v>6</v>
      </c>
      <c r="BI11" s="15">
        <v>1</v>
      </c>
      <c r="BJ11" s="14">
        <v>6</v>
      </c>
      <c r="BK11" s="14">
        <v>5</v>
      </c>
      <c r="BL11" s="14">
        <v>3</v>
      </c>
      <c r="BM11" s="14">
        <v>3</v>
      </c>
      <c r="BN11" s="14">
        <v>6</v>
      </c>
      <c r="BO11" s="15">
        <v>7</v>
      </c>
      <c r="BP11" s="15">
        <v>7</v>
      </c>
      <c r="BQ11" s="35">
        <v>5</v>
      </c>
      <c r="BR11" s="14">
        <v>6</v>
      </c>
      <c r="BS11" s="15">
        <v>4</v>
      </c>
      <c r="BT11" s="15" t="s">
        <v>148</v>
      </c>
      <c r="BU11" s="15" t="s">
        <v>99</v>
      </c>
    </row>
    <row r="12" spans="1:144">
      <c r="B12" s="1">
        <v>11</v>
      </c>
      <c r="C12" t="s">
        <v>122</v>
      </c>
      <c r="D12" s="36">
        <v>26</v>
      </c>
      <c r="E12" s="36">
        <v>19</v>
      </c>
      <c r="F12" t="s">
        <v>87</v>
      </c>
      <c r="G12" t="s">
        <v>71</v>
      </c>
      <c r="H12" t="s">
        <v>89</v>
      </c>
      <c r="I12" t="s">
        <v>102</v>
      </c>
      <c r="J12" t="s">
        <v>74</v>
      </c>
      <c r="K12" t="s">
        <v>149</v>
      </c>
      <c r="L12" t="s">
        <v>125</v>
      </c>
      <c r="M12" t="s">
        <v>77</v>
      </c>
      <c r="N12" t="s">
        <v>93</v>
      </c>
      <c r="O12" t="s">
        <v>78</v>
      </c>
      <c r="P12" t="s">
        <v>77</v>
      </c>
      <c r="Q12" t="s">
        <v>79</v>
      </c>
      <c r="R12" t="s">
        <v>93</v>
      </c>
      <c r="S12" t="s">
        <v>80</v>
      </c>
      <c r="T12" t="s">
        <v>80</v>
      </c>
      <c r="V12" t="s">
        <v>150</v>
      </c>
      <c r="W12">
        <v>117</v>
      </c>
      <c r="X12">
        <v>6</v>
      </c>
      <c r="Y12">
        <v>7</v>
      </c>
      <c r="Z12" t="s">
        <v>95</v>
      </c>
      <c r="AA12">
        <v>7</v>
      </c>
      <c r="AB12">
        <v>7</v>
      </c>
      <c r="AC12">
        <v>6</v>
      </c>
      <c r="AD12">
        <v>7</v>
      </c>
      <c r="AE12">
        <v>6</v>
      </c>
      <c r="AF12">
        <v>6</v>
      </c>
      <c r="AG12">
        <v>7</v>
      </c>
      <c r="AH12">
        <v>7</v>
      </c>
      <c r="AI12">
        <v>7</v>
      </c>
      <c r="AJ12">
        <v>7</v>
      </c>
      <c r="AK12">
        <v>6</v>
      </c>
      <c r="AL12">
        <v>7</v>
      </c>
      <c r="AM12">
        <v>7</v>
      </c>
      <c r="AN12">
        <v>7</v>
      </c>
      <c r="AO12">
        <v>6</v>
      </c>
      <c r="AP12">
        <v>7</v>
      </c>
      <c r="AQ12" s="27">
        <v>6</v>
      </c>
      <c r="AR12">
        <v>7</v>
      </c>
      <c r="AS12">
        <v>7</v>
      </c>
      <c r="AT12" t="s">
        <v>96</v>
      </c>
      <c r="AU12" t="s">
        <v>99</v>
      </c>
      <c r="AW12" s="15">
        <v>134</v>
      </c>
      <c r="AX12" s="15">
        <v>6</v>
      </c>
      <c r="AY12" s="15" t="s">
        <v>95</v>
      </c>
      <c r="AZ12" s="15" t="s">
        <v>95</v>
      </c>
      <c r="BA12" s="15">
        <v>7</v>
      </c>
      <c r="BB12" s="15">
        <v>7</v>
      </c>
      <c r="BC12" s="15">
        <v>7</v>
      </c>
      <c r="BD12" s="15">
        <v>6</v>
      </c>
      <c r="BE12" s="15">
        <v>6</v>
      </c>
      <c r="BF12" s="15">
        <v>7</v>
      </c>
      <c r="BG12" s="15">
        <v>7</v>
      </c>
      <c r="BH12" s="15">
        <v>7</v>
      </c>
      <c r="BI12" s="15">
        <v>7</v>
      </c>
      <c r="BJ12" s="15">
        <v>6</v>
      </c>
      <c r="BK12" s="15">
        <v>6</v>
      </c>
      <c r="BL12" s="15">
        <v>7</v>
      </c>
      <c r="BM12" s="15">
        <v>7</v>
      </c>
      <c r="BN12" s="15">
        <v>7</v>
      </c>
      <c r="BO12" s="15">
        <v>7</v>
      </c>
      <c r="BP12" s="15">
        <v>7</v>
      </c>
      <c r="BQ12" s="32">
        <v>7</v>
      </c>
      <c r="BR12" s="15">
        <v>6</v>
      </c>
      <c r="BS12" s="15">
        <v>7</v>
      </c>
      <c r="BT12" s="15" t="s">
        <v>96</v>
      </c>
      <c r="BU12" s="15" t="s">
        <v>99</v>
      </c>
    </row>
    <row r="13" spans="1:144">
      <c r="B13" s="1">
        <v>12</v>
      </c>
      <c r="C13" t="s">
        <v>151</v>
      </c>
      <c r="D13" s="36">
        <v>34</v>
      </c>
      <c r="E13" s="36">
        <v>25</v>
      </c>
      <c r="F13" t="s">
        <v>87</v>
      </c>
      <c r="G13" t="s">
        <v>152</v>
      </c>
      <c r="H13" t="s">
        <v>89</v>
      </c>
      <c r="I13" t="s">
        <v>102</v>
      </c>
      <c r="J13" t="s">
        <v>103</v>
      </c>
      <c r="K13" t="s">
        <v>153</v>
      </c>
      <c r="L13" t="s">
        <v>92</v>
      </c>
      <c r="M13" t="s">
        <v>78</v>
      </c>
      <c r="N13" t="s">
        <v>79</v>
      </c>
      <c r="O13" t="s">
        <v>79</v>
      </c>
      <c r="P13" t="s">
        <v>78</v>
      </c>
      <c r="Q13" t="s">
        <v>93</v>
      </c>
      <c r="R13" t="s">
        <v>78</v>
      </c>
      <c r="S13" t="s">
        <v>80</v>
      </c>
      <c r="T13" t="s">
        <v>78</v>
      </c>
      <c r="U13" s="34"/>
      <c r="V13" s="15" t="s">
        <v>154</v>
      </c>
      <c r="W13" s="14">
        <v>136</v>
      </c>
      <c r="X13" s="15">
        <v>7</v>
      </c>
      <c r="Y13" s="15" t="s">
        <v>155</v>
      </c>
      <c r="Z13" s="15" t="s">
        <v>155</v>
      </c>
      <c r="AA13" s="15">
        <v>7</v>
      </c>
      <c r="AB13" s="15">
        <v>7</v>
      </c>
      <c r="AC13" s="15">
        <v>7</v>
      </c>
      <c r="AD13" s="15">
        <v>7</v>
      </c>
      <c r="AE13" s="15">
        <v>4</v>
      </c>
      <c r="AF13" s="15">
        <v>7</v>
      </c>
      <c r="AG13" s="15">
        <v>7</v>
      </c>
      <c r="AH13" s="15">
        <v>7</v>
      </c>
      <c r="AI13" s="14">
        <v>6</v>
      </c>
      <c r="AJ13" s="15">
        <v>7</v>
      </c>
      <c r="AK13" s="15">
        <v>7</v>
      </c>
      <c r="AL13" s="15">
        <v>7</v>
      </c>
      <c r="AM13" s="15">
        <v>7</v>
      </c>
      <c r="AN13" s="15">
        <v>7</v>
      </c>
      <c r="AO13" s="15">
        <v>7</v>
      </c>
      <c r="AP13" s="15">
        <v>7</v>
      </c>
      <c r="AQ13" s="32">
        <v>7</v>
      </c>
      <c r="AR13" s="15">
        <v>7</v>
      </c>
      <c r="AS13" s="15">
        <v>7</v>
      </c>
      <c r="AT13" s="15" t="s">
        <v>135</v>
      </c>
      <c r="AU13" s="15" t="s">
        <v>156</v>
      </c>
      <c r="AW13" s="14">
        <v>127</v>
      </c>
      <c r="AX13" s="15">
        <v>4</v>
      </c>
      <c r="AY13" s="15">
        <v>7</v>
      </c>
      <c r="AZ13" s="15" t="s">
        <v>155</v>
      </c>
      <c r="BA13" s="15">
        <v>7</v>
      </c>
      <c r="BB13" s="15">
        <v>7</v>
      </c>
      <c r="BC13" s="15">
        <v>7</v>
      </c>
      <c r="BD13" s="15">
        <v>7</v>
      </c>
      <c r="BE13" s="15">
        <v>4</v>
      </c>
      <c r="BF13" s="15">
        <v>7</v>
      </c>
      <c r="BG13" s="15">
        <v>4</v>
      </c>
      <c r="BH13" s="15">
        <v>7</v>
      </c>
      <c r="BI13" s="15">
        <v>7</v>
      </c>
      <c r="BJ13" s="15">
        <v>7</v>
      </c>
      <c r="BK13" s="15">
        <v>7</v>
      </c>
      <c r="BL13" s="15" t="s">
        <v>155</v>
      </c>
      <c r="BM13" s="15">
        <v>7</v>
      </c>
      <c r="BN13" s="15">
        <v>7</v>
      </c>
      <c r="BO13" s="15">
        <v>7</v>
      </c>
      <c r="BP13" s="15">
        <v>7</v>
      </c>
      <c r="BQ13" s="35">
        <v>5</v>
      </c>
      <c r="BR13" s="14">
        <v>6</v>
      </c>
      <c r="BS13" s="14">
        <v>6</v>
      </c>
      <c r="BT13" s="15" t="s">
        <v>157</v>
      </c>
      <c r="BU13" s="15" t="s">
        <v>158</v>
      </c>
    </row>
    <row r="14" spans="1:144">
      <c r="B14" s="1">
        <v>13</v>
      </c>
      <c r="C14" t="s">
        <v>159</v>
      </c>
      <c r="D14" s="36">
        <v>32</v>
      </c>
      <c r="E14" s="36">
        <v>23</v>
      </c>
      <c r="F14" t="s">
        <v>70</v>
      </c>
      <c r="G14" t="s">
        <v>88</v>
      </c>
      <c r="H14" t="s">
        <v>139</v>
      </c>
      <c r="I14" t="s">
        <v>102</v>
      </c>
      <c r="J14" t="s">
        <v>103</v>
      </c>
      <c r="K14" t="s">
        <v>160</v>
      </c>
      <c r="L14" t="s">
        <v>92</v>
      </c>
      <c r="M14" t="s">
        <v>77</v>
      </c>
      <c r="N14" t="s">
        <v>77</v>
      </c>
      <c r="O14" t="s">
        <v>78</v>
      </c>
      <c r="P14" t="s">
        <v>77</v>
      </c>
      <c r="Q14" t="s">
        <v>77</v>
      </c>
      <c r="R14" t="s">
        <v>79</v>
      </c>
      <c r="S14" t="s">
        <v>80</v>
      </c>
      <c r="T14" t="s">
        <v>93</v>
      </c>
      <c r="U14" s="34"/>
      <c r="V14" s="15" t="s">
        <v>161</v>
      </c>
      <c r="W14" s="14">
        <v>107</v>
      </c>
      <c r="X14" s="14">
        <v>2</v>
      </c>
      <c r="Y14" s="14">
        <v>5</v>
      </c>
      <c r="Z14" s="15">
        <v>7</v>
      </c>
      <c r="AA14" s="15">
        <v>4</v>
      </c>
      <c r="AB14" s="14">
        <v>3</v>
      </c>
      <c r="AC14" s="14">
        <v>2</v>
      </c>
      <c r="AD14" s="15">
        <v>4</v>
      </c>
      <c r="AE14" s="14">
        <v>5</v>
      </c>
      <c r="AF14" s="14">
        <v>3</v>
      </c>
      <c r="AG14" s="14">
        <v>3</v>
      </c>
      <c r="AH14" s="15">
        <v>7</v>
      </c>
      <c r="AI14" s="15">
        <v>7</v>
      </c>
      <c r="AJ14" s="15">
        <v>7</v>
      </c>
      <c r="AK14" s="14">
        <v>6</v>
      </c>
      <c r="AL14" s="15">
        <v>7</v>
      </c>
      <c r="AM14" s="15">
        <v>4</v>
      </c>
      <c r="AN14" s="14">
        <v>6</v>
      </c>
      <c r="AO14" s="15">
        <v>7</v>
      </c>
      <c r="AP14" s="15">
        <v>7</v>
      </c>
      <c r="AQ14" s="35">
        <v>5</v>
      </c>
      <c r="AR14" s="14">
        <v>2</v>
      </c>
      <c r="AS14" s="15">
        <v>4</v>
      </c>
      <c r="AT14" s="15" t="s">
        <v>162</v>
      </c>
      <c r="AU14" s="15" t="s">
        <v>99</v>
      </c>
      <c r="AW14" s="14">
        <v>141</v>
      </c>
      <c r="AX14" s="14">
        <v>6</v>
      </c>
      <c r="AY14" s="14">
        <v>6</v>
      </c>
      <c r="AZ14" s="14">
        <v>6</v>
      </c>
      <c r="BA14" s="15">
        <v>7</v>
      </c>
      <c r="BB14" s="14">
        <v>6</v>
      </c>
      <c r="BC14" s="15">
        <v>7</v>
      </c>
      <c r="BD14" s="15">
        <v>7</v>
      </c>
      <c r="BE14" s="14">
        <v>5</v>
      </c>
      <c r="BF14" s="14">
        <v>6</v>
      </c>
      <c r="BG14" s="14">
        <v>6</v>
      </c>
      <c r="BH14" s="15">
        <v>7</v>
      </c>
      <c r="BI14" s="15">
        <v>7</v>
      </c>
      <c r="BJ14" s="15">
        <v>7</v>
      </c>
      <c r="BK14" s="14">
        <v>6</v>
      </c>
      <c r="BL14" s="15">
        <v>7</v>
      </c>
      <c r="BM14" s="15">
        <v>7</v>
      </c>
      <c r="BN14" s="15">
        <v>7</v>
      </c>
      <c r="BO14" s="15">
        <v>7</v>
      </c>
      <c r="BP14" s="15">
        <v>7</v>
      </c>
      <c r="BQ14" s="35">
        <v>6</v>
      </c>
      <c r="BR14" s="14">
        <v>5</v>
      </c>
      <c r="BS14" s="14">
        <v>6</v>
      </c>
      <c r="BT14" s="15" t="s">
        <v>143</v>
      </c>
      <c r="BU14" s="15" t="s">
        <v>99</v>
      </c>
    </row>
    <row r="15" spans="1:144">
      <c r="B15" s="1">
        <v>14</v>
      </c>
      <c r="C15" t="s">
        <v>163</v>
      </c>
      <c r="D15" s="36">
        <v>30</v>
      </c>
      <c r="E15" s="36">
        <v>23</v>
      </c>
      <c r="F15" t="s">
        <v>70</v>
      </c>
      <c r="G15" t="s">
        <v>88</v>
      </c>
      <c r="H15" t="s">
        <v>101</v>
      </c>
      <c r="I15" t="s">
        <v>90</v>
      </c>
      <c r="J15" t="s">
        <v>74</v>
      </c>
      <c r="K15" t="s">
        <v>91</v>
      </c>
      <c r="L15" t="s">
        <v>92</v>
      </c>
      <c r="M15" t="s">
        <v>79</v>
      </c>
      <c r="N15" t="s">
        <v>79</v>
      </c>
      <c r="O15" t="s">
        <v>77</v>
      </c>
      <c r="P15" t="s">
        <v>77</v>
      </c>
      <c r="Q15" t="s">
        <v>79</v>
      </c>
      <c r="R15" t="s">
        <v>77</v>
      </c>
      <c r="S15" t="s">
        <v>93</v>
      </c>
      <c r="T15" t="s">
        <v>79</v>
      </c>
      <c r="U15" s="34"/>
      <c r="V15" s="15" t="s">
        <v>164</v>
      </c>
      <c r="W15" s="14">
        <v>131</v>
      </c>
      <c r="X15" s="14">
        <v>6</v>
      </c>
      <c r="Y15" s="14">
        <v>6</v>
      </c>
      <c r="Z15" s="14">
        <v>6</v>
      </c>
      <c r="AA15" s="14">
        <v>6</v>
      </c>
      <c r="AB15" s="14">
        <v>6</v>
      </c>
      <c r="AC15" s="14">
        <v>6</v>
      </c>
      <c r="AD15" s="14">
        <v>6</v>
      </c>
      <c r="AE15" s="14">
        <v>6</v>
      </c>
      <c r="AF15" s="14">
        <v>6</v>
      </c>
      <c r="AG15" s="15">
        <v>7</v>
      </c>
      <c r="AH15" s="14">
        <v>6</v>
      </c>
      <c r="AI15" s="14">
        <v>6</v>
      </c>
      <c r="AJ15" s="14">
        <v>6</v>
      </c>
      <c r="AK15" s="14">
        <v>6</v>
      </c>
      <c r="AL15" s="15">
        <v>4</v>
      </c>
      <c r="AM15" s="14">
        <v>6</v>
      </c>
      <c r="AN15" s="14">
        <v>6</v>
      </c>
      <c r="AO15" s="14">
        <v>6</v>
      </c>
      <c r="AP15" s="14">
        <v>6</v>
      </c>
      <c r="AQ15" s="35">
        <v>6</v>
      </c>
      <c r="AR15" s="14">
        <v>6</v>
      </c>
      <c r="AS15" s="14">
        <v>6</v>
      </c>
      <c r="AT15" s="15" t="s">
        <v>165</v>
      </c>
      <c r="AU15" s="15" t="s">
        <v>166</v>
      </c>
      <c r="AW15" s="14">
        <v>132</v>
      </c>
      <c r="AX15" s="14">
        <v>6</v>
      </c>
      <c r="AY15" s="14">
        <v>6</v>
      </c>
      <c r="AZ15" s="14">
        <v>6</v>
      </c>
      <c r="BA15" s="14">
        <v>6</v>
      </c>
      <c r="BB15" s="14">
        <v>6</v>
      </c>
      <c r="BC15" s="14">
        <v>6</v>
      </c>
      <c r="BD15" s="14">
        <v>6</v>
      </c>
      <c r="BE15" s="14">
        <v>6</v>
      </c>
      <c r="BF15" s="14">
        <v>6</v>
      </c>
      <c r="BG15" s="14">
        <v>6</v>
      </c>
      <c r="BH15" s="14">
        <v>6</v>
      </c>
      <c r="BI15" s="14">
        <v>6</v>
      </c>
      <c r="BJ15" s="14">
        <v>6</v>
      </c>
      <c r="BK15" s="14">
        <v>6</v>
      </c>
      <c r="BL15" s="14">
        <v>6</v>
      </c>
      <c r="BM15" s="14">
        <v>6</v>
      </c>
      <c r="BN15" s="14">
        <v>6</v>
      </c>
      <c r="BO15" s="14">
        <v>6</v>
      </c>
      <c r="BP15" s="14">
        <v>6</v>
      </c>
      <c r="BQ15" s="35">
        <v>6</v>
      </c>
      <c r="BR15" s="14">
        <v>6</v>
      </c>
      <c r="BS15" s="14">
        <v>6</v>
      </c>
      <c r="BT15" s="15" t="s">
        <v>98</v>
      </c>
      <c r="BU15" s="15" t="s">
        <v>167</v>
      </c>
    </row>
    <row r="16" spans="1:144">
      <c r="B16" s="1">
        <v>15</v>
      </c>
      <c r="C16" t="s">
        <v>168</v>
      </c>
      <c r="D16" s="36">
        <v>33</v>
      </c>
      <c r="E16" s="36">
        <v>18</v>
      </c>
      <c r="F16" t="s">
        <v>70</v>
      </c>
      <c r="G16" t="s">
        <v>71</v>
      </c>
      <c r="H16" t="s">
        <v>101</v>
      </c>
      <c r="I16" t="s">
        <v>73</v>
      </c>
      <c r="J16" t="s">
        <v>123</v>
      </c>
      <c r="K16" t="s">
        <v>91</v>
      </c>
      <c r="L16" t="s">
        <v>92</v>
      </c>
      <c r="M16" t="s">
        <v>77</v>
      </c>
      <c r="N16" t="s">
        <v>79</v>
      </c>
      <c r="O16" t="s">
        <v>77</v>
      </c>
      <c r="P16" t="s">
        <v>78</v>
      </c>
      <c r="Q16" t="s">
        <v>79</v>
      </c>
      <c r="R16" t="s">
        <v>77</v>
      </c>
      <c r="S16" t="s">
        <v>93</v>
      </c>
      <c r="T16" t="s">
        <v>78</v>
      </c>
      <c r="U16" s="34"/>
      <c r="V16" s="15" t="s">
        <v>169</v>
      </c>
      <c r="W16" s="14">
        <v>138</v>
      </c>
      <c r="X16" s="14">
        <v>5</v>
      </c>
      <c r="Y16" s="15">
        <v>4</v>
      </c>
      <c r="Z16" s="14">
        <v>6</v>
      </c>
      <c r="AA16" s="14">
        <v>5</v>
      </c>
      <c r="AB16" s="15">
        <v>7</v>
      </c>
      <c r="AC16" s="15">
        <v>7</v>
      </c>
      <c r="AD16" s="14">
        <v>6</v>
      </c>
      <c r="AE16" s="14">
        <v>6</v>
      </c>
      <c r="AF16" s="14">
        <v>5</v>
      </c>
      <c r="AG16" s="14">
        <v>6</v>
      </c>
      <c r="AH16" s="15">
        <v>7</v>
      </c>
      <c r="AI16" s="15">
        <v>7</v>
      </c>
      <c r="AJ16" s="15">
        <v>7</v>
      </c>
      <c r="AK16" s="15">
        <v>7</v>
      </c>
      <c r="AL16" s="15">
        <v>7</v>
      </c>
      <c r="AM16" s="15">
        <v>7</v>
      </c>
      <c r="AN16" s="14">
        <v>6</v>
      </c>
      <c r="AO16" s="14">
        <v>5</v>
      </c>
      <c r="AP16" s="15">
        <v>7</v>
      </c>
      <c r="AQ16" s="32">
        <v>7</v>
      </c>
      <c r="AR16" s="15">
        <v>7</v>
      </c>
      <c r="AS16" s="15">
        <v>7</v>
      </c>
      <c r="AT16" s="15" t="s">
        <v>157</v>
      </c>
      <c r="AU16" s="15" t="s">
        <v>170</v>
      </c>
      <c r="AW16" s="14">
        <v>140</v>
      </c>
      <c r="AX16" s="14">
        <v>6</v>
      </c>
      <c r="AY16" s="15">
        <v>4</v>
      </c>
      <c r="AZ16" s="15">
        <v>7</v>
      </c>
      <c r="BA16" s="14">
        <v>5</v>
      </c>
      <c r="BB16" s="15">
        <v>7</v>
      </c>
      <c r="BC16" s="14">
        <v>5</v>
      </c>
      <c r="BD16" s="15">
        <v>7</v>
      </c>
      <c r="BE16" s="15">
        <v>7</v>
      </c>
      <c r="BF16" s="14">
        <v>6</v>
      </c>
      <c r="BG16" s="15">
        <v>7</v>
      </c>
      <c r="BH16" s="14">
        <v>6</v>
      </c>
      <c r="BI16" s="14">
        <v>6</v>
      </c>
      <c r="BJ16" s="14">
        <v>6</v>
      </c>
      <c r="BK16" s="15">
        <v>7</v>
      </c>
      <c r="BL16" s="15">
        <v>7</v>
      </c>
      <c r="BM16" s="14">
        <v>6</v>
      </c>
      <c r="BN16" s="15">
        <v>7</v>
      </c>
      <c r="BO16" s="15">
        <v>7</v>
      </c>
      <c r="BP16" s="15">
        <v>7</v>
      </c>
      <c r="BQ16" s="35">
        <v>6</v>
      </c>
      <c r="BR16" s="15">
        <v>7</v>
      </c>
      <c r="BS16" s="15">
        <v>7</v>
      </c>
      <c r="BT16" s="15" t="s">
        <v>113</v>
      </c>
      <c r="BU16" s="15" t="s">
        <v>171</v>
      </c>
    </row>
    <row r="17" spans="2:73">
      <c r="B17" s="1">
        <v>16</v>
      </c>
      <c r="C17" t="s">
        <v>172</v>
      </c>
      <c r="D17" s="36">
        <v>29</v>
      </c>
      <c r="E17" s="36">
        <v>19</v>
      </c>
      <c r="F17" t="s">
        <v>70</v>
      </c>
      <c r="G17" t="s">
        <v>71</v>
      </c>
      <c r="H17" t="s">
        <v>101</v>
      </c>
      <c r="I17" t="s">
        <v>102</v>
      </c>
      <c r="J17" t="s">
        <v>74</v>
      </c>
      <c r="K17" t="s">
        <v>131</v>
      </c>
      <c r="L17" t="s">
        <v>92</v>
      </c>
      <c r="M17" t="s">
        <v>93</v>
      </c>
      <c r="N17" t="s">
        <v>93</v>
      </c>
      <c r="O17" t="s">
        <v>78</v>
      </c>
      <c r="P17" t="s">
        <v>78</v>
      </c>
      <c r="Q17" t="s">
        <v>77</v>
      </c>
      <c r="R17" t="s">
        <v>77</v>
      </c>
      <c r="S17" t="s">
        <v>80</v>
      </c>
      <c r="T17" t="s">
        <v>93</v>
      </c>
      <c r="U17" s="34"/>
      <c r="V17" s="15" t="s">
        <v>173</v>
      </c>
      <c r="W17" s="14">
        <v>136</v>
      </c>
      <c r="X17" s="44">
        <v>5</v>
      </c>
      <c r="Y17" s="14">
        <v>6</v>
      </c>
      <c r="Z17" s="14">
        <v>6</v>
      </c>
      <c r="AA17" s="15">
        <v>7</v>
      </c>
      <c r="AB17" s="14">
        <v>6</v>
      </c>
      <c r="AC17" s="14">
        <v>5</v>
      </c>
      <c r="AD17" s="15">
        <v>7</v>
      </c>
      <c r="AE17" s="14">
        <v>6</v>
      </c>
      <c r="AF17" s="14">
        <v>6</v>
      </c>
      <c r="AG17" s="15">
        <v>7</v>
      </c>
      <c r="AH17" s="15">
        <v>7</v>
      </c>
      <c r="AI17" s="15">
        <v>7</v>
      </c>
      <c r="AJ17" s="14">
        <v>6</v>
      </c>
      <c r="AK17" s="14">
        <v>6</v>
      </c>
      <c r="AL17" s="14">
        <v>5</v>
      </c>
      <c r="AM17" s="14">
        <v>6</v>
      </c>
      <c r="AN17" s="15">
        <v>7</v>
      </c>
      <c r="AO17" s="14">
        <v>6</v>
      </c>
      <c r="AP17" s="14">
        <v>6</v>
      </c>
      <c r="AQ17" s="35">
        <v>6</v>
      </c>
      <c r="AR17" s="14">
        <v>6</v>
      </c>
      <c r="AS17" s="15">
        <v>7</v>
      </c>
      <c r="AT17" s="15" t="s">
        <v>174</v>
      </c>
      <c r="AU17" s="15" t="s">
        <v>175</v>
      </c>
      <c r="AW17" s="14">
        <v>124</v>
      </c>
      <c r="AX17" s="14">
        <v>3</v>
      </c>
      <c r="AY17" s="14">
        <v>5</v>
      </c>
      <c r="AZ17" s="14">
        <v>6</v>
      </c>
      <c r="BA17" s="14">
        <v>5</v>
      </c>
      <c r="BB17" s="15">
        <v>4</v>
      </c>
      <c r="BC17" s="14">
        <v>6</v>
      </c>
      <c r="BD17" s="14">
        <v>5</v>
      </c>
      <c r="BE17" s="15">
        <v>4</v>
      </c>
      <c r="BF17" s="14">
        <v>6</v>
      </c>
      <c r="BG17" s="14">
        <v>6</v>
      </c>
      <c r="BH17" s="14">
        <v>6</v>
      </c>
      <c r="BI17" s="14">
        <v>6</v>
      </c>
      <c r="BJ17" s="14">
        <v>5</v>
      </c>
      <c r="BK17" s="14">
        <v>5</v>
      </c>
      <c r="BL17" s="14">
        <v>6</v>
      </c>
      <c r="BM17" s="14">
        <v>6</v>
      </c>
      <c r="BN17" s="15">
        <v>7</v>
      </c>
      <c r="BO17" s="15">
        <v>7</v>
      </c>
      <c r="BP17" s="14">
        <v>6</v>
      </c>
      <c r="BQ17" s="35">
        <v>6</v>
      </c>
      <c r="BR17" s="15">
        <v>7</v>
      </c>
      <c r="BS17" s="15">
        <v>7</v>
      </c>
      <c r="BT17" s="15" t="s">
        <v>174</v>
      </c>
      <c r="BU17" s="15" t="s">
        <v>176</v>
      </c>
    </row>
    <row r="18" spans="2:73">
      <c r="B18" s="1">
        <v>19</v>
      </c>
      <c r="C18" t="s">
        <v>177</v>
      </c>
      <c r="D18" s="36">
        <v>27</v>
      </c>
      <c r="E18" s="36">
        <v>18</v>
      </c>
      <c r="F18" t="s">
        <v>70</v>
      </c>
      <c r="G18" t="s">
        <v>71</v>
      </c>
      <c r="H18" t="s">
        <v>101</v>
      </c>
      <c r="I18" t="s">
        <v>102</v>
      </c>
      <c r="J18" t="s">
        <v>123</v>
      </c>
      <c r="K18" t="s">
        <v>91</v>
      </c>
      <c r="L18" t="s">
        <v>92</v>
      </c>
      <c r="M18" t="s">
        <v>93</v>
      </c>
      <c r="N18" t="s">
        <v>77</v>
      </c>
      <c r="O18" t="s">
        <v>78</v>
      </c>
      <c r="P18" t="s">
        <v>79</v>
      </c>
      <c r="Q18" t="s">
        <v>79</v>
      </c>
      <c r="R18" t="s">
        <v>77</v>
      </c>
      <c r="S18" t="s">
        <v>80</v>
      </c>
      <c r="T18" t="s">
        <v>93</v>
      </c>
      <c r="U18" s="34"/>
      <c r="V18" s="15" t="s">
        <v>178</v>
      </c>
      <c r="W18" s="14">
        <v>111</v>
      </c>
      <c r="X18" s="15">
        <v>4</v>
      </c>
      <c r="Y18" s="14">
        <v>5</v>
      </c>
      <c r="Z18" s="14">
        <v>6</v>
      </c>
      <c r="AA18" s="15">
        <v>4</v>
      </c>
      <c r="AB18" s="14">
        <v>5</v>
      </c>
      <c r="AC18" s="15">
        <v>4</v>
      </c>
      <c r="AD18" s="14">
        <v>6</v>
      </c>
      <c r="AE18" s="14">
        <v>5</v>
      </c>
      <c r="AF18" s="14">
        <v>5</v>
      </c>
      <c r="AG18" s="14">
        <v>5</v>
      </c>
      <c r="AH18" s="14">
        <v>5</v>
      </c>
      <c r="AI18" s="15">
        <v>4</v>
      </c>
      <c r="AJ18" s="14">
        <v>5</v>
      </c>
      <c r="AK18" s="15">
        <v>4</v>
      </c>
      <c r="AL18" s="14">
        <v>5</v>
      </c>
      <c r="AM18" s="14">
        <v>6</v>
      </c>
      <c r="AN18" s="14">
        <v>6</v>
      </c>
      <c r="AO18" s="14">
        <v>5</v>
      </c>
      <c r="AP18" s="14">
        <v>5</v>
      </c>
      <c r="AQ18" s="35">
        <v>6</v>
      </c>
      <c r="AR18" s="14">
        <v>6</v>
      </c>
      <c r="AS18" s="14">
        <v>5</v>
      </c>
      <c r="AT18" s="15" t="s">
        <v>113</v>
      </c>
      <c r="AU18" s="15" t="s">
        <v>179</v>
      </c>
      <c r="AW18" s="14">
        <v>118</v>
      </c>
      <c r="AX18" s="15">
        <v>4</v>
      </c>
      <c r="AY18" s="14">
        <v>5</v>
      </c>
      <c r="AZ18" s="14">
        <v>6</v>
      </c>
      <c r="BA18" s="14">
        <v>5</v>
      </c>
      <c r="BB18" s="14">
        <v>6</v>
      </c>
      <c r="BC18" s="14">
        <v>5</v>
      </c>
      <c r="BD18" s="14">
        <v>6</v>
      </c>
      <c r="BE18" s="14">
        <v>5</v>
      </c>
      <c r="BF18" s="14">
        <v>5</v>
      </c>
      <c r="BG18" s="14">
        <v>6</v>
      </c>
      <c r="BH18" s="14">
        <v>5</v>
      </c>
      <c r="BI18" s="14">
        <v>5</v>
      </c>
      <c r="BJ18" s="14">
        <v>5</v>
      </c>
      <c r="BK18" s="14">
        <v>5</v>
      </c>
      <c r="BL18" s="14">
        <v>6</v>
      </c>
      <c r="BM18" s="14">
        <v>6</v>
      </c>
      <c r="BN18" s="14">
        <v>5</v>
      </c>
      <c r="BO18" s="14">
        <v>6</v>
      </c>
      <c r="BP18" s="14">
        <v>6</v>
      </c>
      <c r="BQ18" s="35">
        <v>6</v>
      </c>
      <c r="BR18" s="14">
        <v>6</v>
      </c>
      <c r="BS18" s="15">
        <v>4</v>
      </c>
      <c r="BT18" s="15" t="s">
        <v>143</v>
      </c>
      <c r="BU18" s="15" t="s">
        <v>180</v>
      </c>
    </row>
    <row r="19" spans="2:73">
      <c r="B19" s="1">
        <v>20</v>
      </c>
      <c r="C19" t="s">
        <v>181</v>
      </c>
      <c r="D19" s="36">
        <v>43</v>
      </c>
      <c r="E19" s="36">
        <v>20</v>
      </c>
      <c r="F19" t="s">
        <v>70</v>
      </c>
      <c r="G19" t="s">
        <v>71</v>
      </c>
      <c r="H19" t="s">
        <v>101</v>
      </c>
      <c r="I19" t="s">
        <v>90</v>
      </c>
      <c r="J19" t="s">
        <v>103</v>
      </c>
      <c r="K19" t="s">
        <v>131</v>
      </c>
      <c r="L19" t="s">
        <v>92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79</v>
      </c>
      <c r="T19" t="s">
        <v>78</v>
      </c>
      <c r="U19" s="34"/>
      <c r="V19" s="15" t="s">
        <v>164</v>
      </c>
      <c r="W19" s="14">
        <v>135</v>
      </c>
      <c r="X19" s="14">
        <v>6</v>
      </c>
      <c r="Y19" s="15">
        <v>7</v>
      </c>
      <c r="Z19" s="15" t="s">
        <v>155</v>
      </c>
      <c r="AA19" s="14">
        <v>6</v>
      </c>
      <c r="AB19" s="15">
        <v>7</v>
      </c>
      <c r="AC19" s="15">
        <v>7</v>
      </c>
      <c r="AD19" s="15">
        <v>7</v>
      </c>
      <c r="AE19" s="14">
        <v>6</v>
      </c>
      <c r="AF19" s="15">
        <v>7</v>
      </c>
      <c r="AG19" s="14">
        <v>5</v>
      </c>
      <c r="AH19" s="15">
        <v>7</v>
      </c>
      <c r="AI19" s="14">
        <v>6</v>
      </c>
      <c r="AJ19" s="15">
        <v>7</v>
      </c>
      <c r="AK19" s="14">
        <v>6</v>
      </c>
      <c r="AL19" s="14">
        <v>3</v>
      </c>
      <c r="AM19" s="15">
        <v>7</v>
      </c>
      <c r="AN19" s="14">
        <v>6</v>
      </c>
      <c r="AO19" s="15">
        <v>7</v>
      </c>
      <c r="AP19" s="15">
        <v>7</v>
      </c>
      <c r="AQ19" s="32">
        <v>7</v>
      </c>
      <c r="AR19" s="15">
        <v>7</v>
      </c>
      <c r="AS19" s="15">
        <v>7</v>
      </c>
      <c r="AT19" s="15" t="s">
        <v>182</v>
      </c>
      <c r="AU19" s="15" t="s">
        <v>99</v>
      </c>
      <c r="AW19" s="14">
        <v>130</v>
      </c>
      <c r="AX19" s="14">
        <v>6</v>
      </c>
      <c r="AY19" s="15" t="s">
        <v>155</v>
      </c>
      <c r="AZ19" s="15" t="s">
        <v>155</v>
      </c>
      <c r="BA19" s="15">
        <v>7</v>
      </c>
      <c r="BB19" s="14">
        <v>6</v>
      </c>
      <c r="BC19" s="15">
        <v>7</v>
      </c>
      <c r="BD19" s="15">
        <v>7</v>
      </c>
      <c r="BE19" s="14">
        <v>5</v>
      </c>
      <c r="BF19" s="15">
        <v>7</v>
      </c>
      <c r="BG19" s="15">
        <v>7</v>
      </c>
      <c r="BH19" s="14">
        <v>6</v>
      </c>
      <c r="BI19" s="15">
        <v>7</v>
      </c>
      <c r="BJ19" s="15">
        <v>7</v>
      </c>
      <c r="BK19" s="14">
        <v>5</v>
      </c>
      <c r="BL19" s="15">
        <v>7</v>
      </c>
      <c r="BM19" s="14">
        <v>6</v>
      </c>
      <c r="BN19" s="15">
        <v>7</v>
      </c>
      <c r="BO19" s="15">
        <v>7</v>
      </c>
      <c r="BP19" s="14">
        <v>6</v>
      </c>
      <c r="BQ19" s="32">
        <v>7</v>
      </c>
      <c r="BR19" s="15">
        <v>7</v>
      </c>
      <c r="BS19" s="14">
        <v>6</v>
      </c>
      <c r="BT19" s="15" t="s">
        <v>135</v>
      </c>
      <c r="BU19" s="15" t="s">
        <v>99</v>
      </c>
    </row>
    <row r="20" spans="2:73">
      <c r="B20" s="1">
        <v>21</v>
      </c>
      <c r="C20" t="s">
        <v>183</v>
      </c>
      <c r="D20" s="36">
        <v>32</v>
      </c>
      <c r="E20" s="36">
        <v>31</v>
      </c>
      <c r="F20" t="s">
        <v>70</v>
      </c>
      <c r="G20" t="s">
        <v>152</v>
      </c>
      <c r="H20" t="s">
        <v>101</v>
      </c>
      <c r="I20" t="s">
        <v>102</v>
      </c>
      <c r="J20" t="s">
        <v>74</v>
      </c>
      <c r="K20" t="s">
        <v>153</v>
      </c>
      <c r="L20" t="s">
        <v>92</v>
      </c>
      <c r="M20" t="s">
        <v>79</v>
      </c>
      <c r="N20" t="s">
        <v>77</v>
      </c>
      <c r="O20" t="s">
        <v>78</v>
      </c>
      <c r="P20" t="s">
        <v>78</v>
      </c>
      <c r="Q20" t="s">
        <v>79</v>
      </c>
      <c r="R20" t="s">
        <v>79</v>
      </c>
      <c r="S20" t="s">
        <v>93</v>
      </c>
      <c r="T20" t="s">
        <v>79</v>
      </c>
      <c r="U20" s="34"/>
      <c r="V20" s="15" t="s">
        <v>184</v>
      </c>
      <c r="W20" s="14">
        <v>154</v>
      </c>
      <c r="X20" s="15">
        <v>7</v>
      </c>
      <c r="Y20" s="15">
        <v>7</v>
      </c>
      <c r="Z20" s="15">
        <v>7</v>
      </c>
      <c r="AA20" s="15">
        <v>7</v>
      </c>
      <c r="AB20" s="15">
        <v>7</v>
      </c>
      <c r="AC20" s="15">
        <v>7</v>
      </c>
      <c r="AD20" s="15">
        <v>7</v>
      </c>
      <c r="AE20" s="15">
        <v>7</v>
      </c>
      <c r="AF20" s="15">
        <v>7</v>
      </c>
      <c r="AG20" s="15">
        <v>7</v>
      </c>
      <c r="AH20" s="15">
        <v>7</v>
      </c>
      <c r="AI20" s="15">
        <v>7</v>
      </c>
      <c r="AJ20" s="15">
        <v>7</v>
      </c>
      <c r="AK20" s="15">
        <v>7</v>
      </c>
      <c r="AL20" s="15">
        <v>7</v>
      </c>
      <c r="AM20" s="15">
        <v>7</v>
      </c>
      <c r="AN20" s="15">
        <v>7</v>
      </c>
      <c r="AO20" s="15">
        <v>7</v>
      </c>
      <c r="AP20" s="15">
        <v>7</v>
      </c>
      <c r="AQ20" s="32">
        <v>7</v>
      </c>
      <c r="AR20" s="15">
        <v>7</v>
      </c>
      <c r="AS20" s="15">
        <v>7</v>
      </c>
      <c r="AT20" s="15" t="s">
        <v>96</v>
      </c>
      <c r="AU20" s="15" t="s">
        <v>185</v>
      </c>
      <c r="AW20" s="14">
        <v>136</v>
      </c>
      <c r="AX20" s="15">
        <v>7</v>
      </c>
      <c r="AY20" s="15" t="s">
        <v>155</v>
      </c>
      <c r="AZ20" s="15" t="s">
        <v>155</v>
      </c>
      <c r="BA20" s="15">
        <v>7</v>
      </c>
      <c r="BB20" s="15">
        <v>7</v>
      </c>
      <c r="BC20" s="14">
        <v>6</v>
      </c>
      <c r="BD20" s="15">
        <v>7</v>
      </c>
      <c r="BE20" s="15">
        <v>7</v>
      </c>
      <c r="BF20" s="14">
        <v>6</v>
      </c>
      <c r="BG20" s="14">
        <v>6</v>
      </c>
      <c r="BH20" s="15">
        <v>7</v>
      </c>
      <c r="BI20" s="14">
        <v>6</v>
      </c>
      <c r="BJ20" s="15">
        <v>7</v>
      </c>
      <c r="BK20" s="15">
        <v>7</v>
      </c>
      <c r="BL20" s="15">
        <v>7</v>
      </c>
      <c r="BM20" s="15">
        <v>7</v>
      </c>
      <c r="BN20" s="15">
        <v>7</v>
      </c>
      <c r="BO20" s="15">
        <v>7</v>
      </c>
      <c r="BP20" s="15">
        <v>7</v>
      </c>
      <c r="BQ20" s="32">
        <v>7</v>
      </c>
      <c r="BR20" s="15">
        <v>7</v>
      </c>
      <c r="BS20" s="15">
        <v>7</v>
      </c>
      <c r="BT20" s="15" t="s">
        <v>84</v>
      </c>
      <c r="BU20" s="15" t="s">
        <v>186</v>
      </c>
    </row>
    <row r="21" spans="2:73">
      <c r="B21" s="1">
        <v>22</v>
      </c>
      <c r="C21" t="s">
        <v>187</v>
      </c>
      <c r="D21" s="36">
        <v>35</v>
      </c>
      <c r="E21" s="36">
        <v>20</v>
      </c>
      <c r="F21" t="s">
        <v>70</v>
      </c>
      <c r="G21" t="s">
        <v>71</v>
      </c>
      <c r="H21" t="s">
        <v>101</v>
      </c>
      <c r="I21" t="s">
        <v>102</v>
      </c>
      <c r="J21" t="s">
        <v>74</v>
      </c>
      <c r="K21" t="s">
        <v>91</v>
      </c>
      <c r="L21" t="s">
        <v>92</v>
      </c>
      <c r="M21" t="s">
        <v>77</v>
      </c>
      <c r="N21" t="s">
        <v>77</v>
      </c>
      <c r="O21" t="s">
        <v>78</v>
      </c>
      <c r="P21" t="s">
        <v>78</v>
      </c>
      <c r="Q21" t="s">
        <v>79</v>
      </c>
      <c r="R21" t="s">
        <v>78</v>
      </c>
      <c r="S21" t="s">
        <v>93</v>
      </c>
      <c r="T21" t="s">
        <v>79</v>
      </c>
      <c r="U21" s="34"/>
      <c r="V21" s="15" t="s">
        <v>188</v>
      </c>
      <c r="W21" s="14">
        <v>132</v>
      </c>
      <c r="X21" s="15">
        <v>7</v>
      </c>
      <c r="Y21" s="14">
        <v>5</v>
      </c>
      <c r="Z21" s="15" t="s">
        <v>155</v>
      </c>
      <c r="AA21" s="15">
        <v>7</v>
      </c>
      <c r="AB21" s="14">
        <v>6</v>
      </c>
      <c r="AC21" s="15">
        <v>7</v>
      </c>
      <c r="AD21" s="15">
        <v>7</v>
      </c>
      <c r="AE21" s="14">
        <v>6</v>
      </c>
      <c r="AF21" s="15">
        <v>7</v>
      </c>
      <c r="AG21" s="14">
        <v>6</v>
      </c>
      <c r="AH21" s="14">
        <v>6</v>
      </c>
      <c r="AI21" s="14">
        <v>5</v>
      </c>
      <c r="AJ21" s="14">
        <v>6</v>
      </c>
      <c r="AK21" s="14">
        <v>6</v>
      </c>
      <c r="AL21" s="14">
        <v>6</v>
      </c>
      <c r="AM21" s="15">
        <v>7</v>
      </c>
      <c r="AN21" s="15">
        <v>7</v>
      </c>
      <c r="AO21" s="14">
        <v>5</v>
      </c>
      <c r="AP21" s="14">
        <v>6</v>
      </c>
      <c r="AQ21" s="35">
        <v>6</v>
      </c>
      <c r="AR21" s="15">
        <v>7</v>
      </c>
      <c r="AS21" s="15">
        <v>7</v>
      </c>
      <c r="AT21" s="15" t="s">
        <v>189</v>
      </c>
      <c r="AU21" s="15" t="s">
        <v>99</v>
      </c>
      <c r="AW21" s="14">
        <v>140</v>
      </c>
      <c r="AX21" s="15">
        <v>7</v>
      </c>
      <c r="AY21" s="15">
        <v>7</v>
      </c>
      <c r="AZ21" s="14">
        <v>5</v>
      </c>
      <c r="BA21" s="15">
        <v>7</v>
      </c>
      <c r="BB21" s="14">
        <v>6</v>
      </c>
      <c r="BC21" s="14">
        <v>6</v>
      </c>
      <c r="BD21" s="15">
        <v>7</v>
      </c>
      <c r="BE21" s="15">
        <v>4</v>
      </c>
      <c r="BF21" s="14">
        <v>6</v>
      </c>
      <c r="BG21" s="14">
        <v>6</v>
      </c>
      <c r="BH21" s="15">
        <v>7</v>
      </c>
      <c r="BI21" s="14">
        <v>6</v>
      </c>
      <c r="BJ21" s="14">
        <v>6</v>
      </c>
      <c r="BK21" s="14">
        <v>6</v>
      </c>
      <c r="BL21" s="15">
        <v>7</v>
      </c>
      <c r="BM21" s="15">
        <v>7</v>
      </c>
      <c r="BN21" s="14">
        <v>6</v>
      </c>
      <c r="BO21" s="15">
        <v>7</v>
      </c>
      <c r="BP21" s="14">
        <v>6</v>
      </c>
      <c r="BQ21" s="32">
        <v>7</v>
      </c>
      <c r="BR21" s="15">
        <v>7</v>
      </c>
      <c r="BS21" s="15">
        <v>7</v>
      </c>
      <c r="BT21" s="15" t="s">
        <v>135</v>
      </c>
      <c r="BU21" s="15" t="s">
        <v>190</v>
      </c>
    </row>
    <row r="22" spans="2:73">
      <c r="B22" s="1">
        <v>23</v>
      </c>
      <c r="C22" t="s">
        <v>191</v>
      </c>
      <c r="D22" s="36">
        <v>18</v>
      </c>
      <c r="E22" s="36">
        <v>22</v>
      </c>
      <c r="F22" t="s">
        <v>87</v>
      </c>
      <c r="G22" t="s">
        <v>88</v>
      </c>
      <c r="H22" t="s">
        <v>89</v>
      </c>
      <c r="I22" t="s">
        <v>73</v>
      </c>
      <c r="J22" t="s">
        <v>123</v>
      </c>
      <c r="K22" t="s">
        <v>116</v>
      </c>
      <c r="L22" t="s">
        <v>125</v>
      </c>
      <c r="M22" t="s">
        <v>93</v>
      </c>
      <c r="N22" t="s">
        <v>93</v>
      </c>
      <c r="O22" t="s">
        <v>93</v>
      </c>
      <c r="P22" t="s">
        <v>93</v>
      </c>
      <c r="Q22" t="s">
        <v>93</v>
      </c>
      <c r="R22" t="s">
        <v>93</v>
      </c>
      <c r="S22" t="s">
        <v>80</v>
      </c>
      <c r="T22" t="s">
        <v>93</v>
      </c>
      <c r="V22" t="s">
        <v>192</v>
      </c>
      <c r="W22">
        <v>140</v>
      </c>
      <c r="X22">
        <v>6</v>
      </c>
      <c r="Y22">
        <v>7</v>
      </c>
      <c r="Z22">
        <v>7</v>
      </c>
      <c r="AA22">
        <v>7</v>
      </c>
      <c r="AB22">
        <v>6</v>
      </c>
      <c r="AC22">
        <v>7</v>
      </c>
      <c r="AD22">
        <v>7</v>
      </c>
      <c r="AE22">
        <v>7</v>
      </c>
      <c r="AF22">
        <v>5</v>
      </c>
      <c r="AG22">
        <v>7</v>
      </c>
      <c r="AH22">
        <v>6</v>
      </c>
      <c r="AI22">
        <v>7</v>
      </c>
      <c r="AJ22">
        <v>7</v>
      </c>
      <c r="AK22">
        <v>6</v>
      </c>
      <c r="AL22">
        <v>7</v>
      </c>
      <c r="AM22">
        <v>7</v>
      </c>
      <c r="AN22">
        <v>6</v>
      </c>
      <c r="AO22">
        <v>7</v>
      </c>
      <c r="AP22">
        <v>7</v>
      </c>
      <c r="AQ22" s="27">
        <v>7</v>
      </c>
      <c r="AR22">
        <v>7</v>
      </c>
      <c r="AS22">
        <v>7</v>
      </c>
      <c r="AT22" t="s">
        <v>96</v>
      </c>
      <c r="AU22" t="s">
        <v>193</v>
      </c>
      <c r="AW22" s="15">
        <v>154</v>
      </c>
      <c r="AX22" s="15">
        <v>7</v>
      </c>
      <c r="AY22" s="15">
        <v>7</v>
      </c>
      <c r="AZ22" s="15">
        <v>7</v>
      </c>
      <c r="BA22" s="15">
        <v>7</v>
      </c>
      <c r="BB22" s="15">
        <v>7</v>
      </c>
      <c r="BC22" s="15">
        <v>7</v>
      </c>
      <c r="BD22" s="15">
        <v>7</v>
      </c>
      <c r="BE22" s="15">
        <v>7</v>
      </c>
      <c r="BF22" s="15">
        <v>7</v>
      </c>
      <c r="BG22" s="15">
        <v>7</v>
      </c>
      <c r="BH22" s="15">
        <v>7</v>
      </c>
      <c r="BI22" s="15">
        <v>7</v>
      </c>
      <c r="BJ22" s="15">
        <v>7</v>
      </c>
      <c r="BK22" s="15">
        <v>7</v>
      </c>
      <c r="BL22" s="15">
        <v>7</v>
      </c>
      <c r="BM22" s="15">
        <v>7</v>
      </c>
      <c r="BN22" s="15">
        <v>7</v>
      </c>
      <c r="BO22" s="15">
        <v>7</v>
      </c>
      <c r="BP22" s="15">
        <v>7</v>
      </c>
      <c r="BQ22" s="32">
        <v>7</v>
      </c>
      <c r="BR22" s="15">
        <v>7</v>
      </c>
      <c r="BS22" s="15">
        <v>7</v>
      </c>
      <c r="BT22" s="15" t="s">
        <v>96</v>
      </c>
      <c r="BU22" s="15" t="s">
        <v>166</v>
      </c>
    </row>
    <row r="23" spans="2:73">
      <c r="B23" s="1">
        <v>24</v>
      </c>
      <c r="C23" t="s">
        <v>194</v>
      </c>
      <c r="D23" s="36">
        <v>33</v>
      </c>
      <c r="E23" s="36">
        <v>19</v>
      </c>
      <c r="F23" t="s">
        <v>70</v>
      </c>
      <c r="G23" t="s">
        <v>71</v>
      </c>
      <c r="H23" t="s">
        <v>101</v>
      </c>
      <c r="I23" t="s">
        <v>90</v>
      </c>
      <c r="J23" t="s">
        <v>74</v>
      </c>
      <c r="K23" t="s">
        <v>131</v>
      </c>
      <c r="L23" t="s">
        <v>92</v>
      </c>
      <c r="M23" t="s">
        <v>79</v>
      </c>
      <c r="N23" t="s">
        <v>93</v>
      </c>
      <c r="O23" t="s">
        <v>78</v>
      </c>
      <c r="P23" t="s">
        <v>77</v>
      </c>
      <c r="Q23" t="s">
        <v>78</v>
      </c>
      <c r="R23" t="s">
        <v>77</v>
      </c>
      <c r="S23" t="s">
        <v>93</v>
      </c>
      <c r="T23" t="s">
        <v>77</v>
      </c>
      <c r="U23" s="34"/>
      <c r="V23" s="15" t="s">
        <v>195</v>
      </c>
      <c r="W23" s="14">
        <v>126</v>
      </c>
      <c r="X23" s="14">
        <v>3</v>
      </c>
      <c r="Y23" s="14">
        <v>5</v>
      </c>
      <c r="Z23" s="14">
        <v>6</v>
      </c>
      <c r="AA23" s="14">
        <v>6</v>
      </c>
      <c r="AB23" s="14">
        <v>6</v>
      </c>
      <c r="AC23" s="14">
        <v>6</v>
      </c>
      <c r="AD23" s="14">
        <v>6</v>
      </c>
      <c r="AE23" s="15">
        <v>4</v>
      </c>
      <c r="AF23" s="14">
        <v>6</v>
      </c>
      <c r="AG23" s="15">
        <v>4</v>
      </c>
      <c r="AH23" s="14">
        <v>6</v>
      </c>
      <c r="AI23" s="14">
        <v>6</v>
      </c>
      <c r="AJ23" s="14">
        <v>6</v>
      </c>
      <c r="AK23" s="14">
        <v>6</v>
      </c>
      <c r="AL23" s="14">
        <v>6</v>
      </c>
      <c r="AM23" s="14">
        <v>6</v>
      </c>
      <c r="AN23" s="14">
        <v>6</v>
      </c>
      <c r="AO23" s="14">
        <v>6</v>
      </c>
      <c r="AP23" s="14">
        <v>6</v>
      </c>
      <c r="AQ23" s="35">
        <v>6</v>
      </c>
      <c r="AR23" s="15">
        <v>7</v>
      </c>
      <c r="AS23" s="15">
        <v>7</v>
      </c>
      <c r="AT23" s="15" t="s">
        <v>157</v>
      </c>
      <c r="AU23" s="15" t="s">
        <v>99</v>
      </c>
      <c r="AW23" s="14">
        <v>121</v>
      </c>
      <c r="AX23" s="15">
        <v>4</v>
      </c>
      <c r="AY23" s="14">
        <v>5</v>
      </c>
      <c r="AZ23" s="14">
        <v>6</v>
      </c>
      <c r="BA23" s="14">
        <v>5</v>
      </c>
      <c r="BB23" s="14">
        <v>5</v>
      </c>
      <c r="BC23" s="14">
        <v>5</v>
      </c>
      <c r="BD23" s="15">
        <v>4</v>
      </c>
      <c r="BE23" s="15">
        <v>4</v>
      </c>
      <c r="BF23" s="14">
        <v>5</v>
      </c>
      <c r="BG23" s="14">
        <v>5</v>
      </c>
      <c r="BH23" s="15">
        <v>4</v>
      </c>
      <c r="BI23" s="14">
        <v>6</v>
      </c>
      <c r="BJ23" s="14">
        <v>6</v>
      </c>
      <c r="BK23" s="14">
        <v>6</v>
      </c>
      <c r="BL23" s="14">
        <v>6</v>
      </c>
      <c r="BM23" s="14">
        <v>6</v>
      </c>
      <c r="BN23" s="14">
        <v>6</v>
      </c>
      <c r="BO23" s="14">
        <v>6</v>
      </c>
      <c r="BP23" s="14">
        <v>6</v>
      </c>
      <c r="BQ23" s="32">
        <v>7</v>
      </c>
      <c r="BR23" s="15">
        <v>7</v>
      </c>
      <c r="BS23" s="15">
        <v>7</v>
      </c>
      <c r="BT23" s="15" t="s">
        <v>196</v>
      </c>
      <c r="BU23" s="15" t="s">
        <v>197</v>
      </c>
    </row>
    <row r="24" spans="2:73">
      <c r="B24" s="1">
        <v>25</v>
      </c>
      <c r="C24" t="s">
        <v>198</v>
      </c>
      <c r="D24" s="36">
        <v>37</v>
      </c>
      <c r="E24" s="36">
        <v>23</v>
      </c>
      <c r="F24" t="s">
        <v>70</v>
      </c>
      <c r="G24" t="s">
        <v>88</v>
      </c>
      <c r="H24" t="s">
        <v>101</v>
      </c>
      <c r="I24" t="s">
        <v>73</v>
      </c>
      <c r="J24" t="s">
        <v>103</v>
      </c>
      <c r="K24" t="s">
        <v>75</v>
      </c>
      <c r="L24" t="s">
        <v>92</v>
      </c>
      <c r="M24" t="s">
        <v>77</v>
      </c>
      <c r="N24" t="s">
        <v>78</v>
      </c>
      <c r="O24" t="s">
        <v>78</v>
      </c>
      <c r="P24" t="s">
        <v>78</v>
      </c>
      <c r="Q24" t="s">
        <v>79</v>
      </c>
      <c r="R24" t="s">
        <v>77</v>
      </c>
      <c r="S24" t="s">
        <v>93</v>
      </c>
      <c r="T24" t="s">
        <v>77</v>
      </c>
      <c r="U24" s="34"/>
      <c r="V24" s="15" t="s">
        <v>199</v>
      </c>
      <c r="W24" s="14">
        <v>107</v>
      </c>
      <c r="X24" s="15">
        <v>4</v>
      </c>
      <c r="Y24" s="15">
        <v>4</v>
      </c>
      <c r="Z24" s="14">
        <v>5</v>
      </c>
      <c r="AA24" s="14">
        <v>5</v>
      </c>
      <c r="AB24" s="15">
        <v>4</v>
      </c>
      <c r="AC24" s="15">
        <v>4</v>
      </c>
      <c r="AD24" s="15">
        <v>4</v>
      </c>
      <c r="AE24" s="14">
        <v>5</v>
      </c>
      <c r="AF24" s="14">
        <v>5</v>
      </c>
      <c r="AG24" s="14">
        <v>5</v>
      </c>
      <c r="AH24" s="14">
        <v>5</v>
      </c>
      <c r="AI24" s="14">
        <v>5</v>
      </c>
      <c r="AJ24" s="14">
        <v>5</v>
      </c>
      <c r="AK24" s="14">
        <v>5</v>
      </c>
      <c r="AL24" s="14">
        <v>5</v>
      </c>
      <c r="AM24" s="14">
        <v>5</v>
      </c>
      <c r="AN24" s="14">
        <v>5</v>
      </c>
      <c r="AO24" s="14">
        <v>5</v>
      </c>
      <c r="AP24" s="14">
        <v>5</v>
      </c>
      <c r="AQ24" s="35">
        <v>6</v>
      </c>
      <c r="AR24" s="14">
        <v>6</v>
      </c>
      <c r="AS24" s="14">
        <v>5</v>
      </c>
      <c r="AT24" s="15" t="s">
        <v>84</v>
      </c>
      <c r="AU24" s="15" t="s">
        <v>200</v>
      </c>
      <c r="AW24" s="14">
        <v>110</v>
      </c>
      <c r="AX24" s="15">
        <v>4</v>
      </c>
      <c r="AY24" s="14">
        <v>5</v>
      </c>
      <c r="AZ24" s="14">
        <v>6</v>
      </c>
      <c r="BA24" s="14">
        <v>6</v>
      </c>
      <c r="BB24" s="14">
        <v>5</v>
      </c>
      <c r="BC24" s="14">
        <v>6</v>
      </c>
      <c r="BD24" s="14">
        <v>5</v>
      </c>
      <c r="BE24" s="15">
        <v>4</v>
      </c>
      <c r="BF24" s="15">
        <v>4</v>
      </c>
      <c r="BG24" s="15">
        <v>4</v>
      </c>
      <c r="BH24" s="14">
        <v>6</v>
      </c>
      <c r="BI24" s="15">
        <v>4</v>
      </c>
      <c r="BJ24" s="14">
        <v>5</v>
      </c>
      <c r="BK24" s="14">
        <v>5</v>
      </c>
      <c r="BL24" s="14">
        <v>5</v>
      </c>
      <c r="BM24" s="14">
        <v>5</v>
      </c>
      <c r="BN24" s="14">
        <v>5</v>
      </c>
      <c r="BO24" s="14">
        <v>5</v>
      </c>
      <c r="BP24" s="14">
        <v>5</v>
      </c>
      <c r="BQ24" s="35">
        <v>6</v>
      </c>
      <c r="BR24" s="14">
        <v>5</v>
      </c>
      <c r="BS24" s="14">
        <v>5</v>
      </c>
      <c r="BT24" s="15" t="s">
        <v>118</v>
      </c>
      <c r="BU24" s="15" t="s">
        <v>201</v>
      </c>
    </row>
    <row r="25" spans="2:73">
      <c r="B25" s="1">
        <v>26</v>
      </c>
      <c r="C25" t="s">
        <v>202</v>
      </c>
      <c r="D25" s="36">
        <v>37</v>
      </c>
      <c r="E25" s="36">
        <v>27</v>
      </c>
      <c r="F25" t="s">
        <v>87</v>
      </c>
      <c r="G25" t="s">
        <v>88</v>
      </c>
      <c r="H25" t="s">
        <v>89</v>
      </c>
      <c r="I25" t="s">
        <v>102</v>
      </c>
      <c r="J25" t="s">
        <v>103</v>
      </c>
      <c r="K25" t="s">
        <v>116</v>
      </c>
      <c r="L25" t="s">
        <v>92</v>
      </c>
      <c r="M25" t="s">
        <v>77</v>
      </c>
      <c r="N25" t="s">
        <v>77</v>
      </c>
      <c r="O25" t="s">
        <v>77</v>
      </c>
      <c r="P25" t="s">
        <v>77</v>
      </c>
      <c r="Q25" t="s">
        <v>77</v>
      </c>
      <c r="R25" t="s">
        <v>77</v>
      </c>
      <c r="S25" t="s">
        <v>77</v>
      </c>
      <c r="T25" t="s">
        <v>77</v>
      </c>
      <c r="U25" s="34"/>
      <c r="V25" s="15" t="s">
        <v>203</v>
      </c>
      <c r="W25" s="14">
        <v>139</v>
      </c>
      <c r="X25" s="15">
        <v>7</v>
      </c>
      <c r="Y25" s="15" t="s">
        <v>155</v>
      </c>
      <c r="Z25" s="15" t="s">
        <v>155</v>
      </c>
      <c r="AA25" s="15">
        <v>7</v>
      </c>
      <c r="AB25" s="15">
        <v>7</v>
      </c>
      <c r="AC25" s="15">
        <v>7</v>
      </c>
      <c r="AD25" s="15">
        <v>7</v>
      </c>
      <c r="AE25" s="14">
        <v>6</v>
      </c>
      <c r="AF25" s="15">
        <v>7</v>
      </c>
      <c r="AG25" s="15">
        <v>7</v>
      </c>
      <c r="AH25" s="15">
        <v>7</v>
      </c>
      <c r="AI25" s="15">
        <v>7</v>
      </c>
      <c r="AJ25" s="15">
        <v>7</v>
      </c>
      <c r="AK25" s="15">
        <v>7</v>
      </c>
      <c r="AL25" s="15">
        <v>7</v>
      </c>
      <c r="AM25" s="15">
        <v>7</v>
      </c>
      <c r="AN25" s="15">
        <v>7</v>
      </c>
      <c r="AO25" s="15">
        <v>7</v>
      </c>
      <c r="AP25" s="15">
        <v>7</v>
      </c>
      <c r="AQ25" s="32">
        <v>7</v>
      </c>
      <c r="AR25" s="15">
        <v>7</v>
      </c>
      <c r="AS25" s="15">
        <v>7</v>
      </c>
      <c r="AT25" s="15" t="s">
        <v>157</v>
      </c>
      <c r="AU25" s="15" t="s">
        <v>99</v>
      </c>
      <c r="AW25" s="14">
        <v>143</v>
      </c>
      <c r="AX25" s="14">
        <v>6</v>
      </c>
      <c r="AY25" s="15">
        <v>7</v>
      </c>
      <c r="AZ25" s="15" t="s">
        <v>155</v>
      </c>
      <c r="BA25" s="15">
        <v>7</v>
      </c>
      <c r="BB25" s="14">
        <v>6</v>
      </c>
      <c r="BC25" s="15">
        <v>7</v>
      </c>
      <c r="BD25" s="15">
        <v>7</v>
      </c>
      <c r="BE25" s="15">
        <v>7</v>
      </c>
      <c r="BF25" s="14">
        <v>6</v>
      </c>
      <c r="BG25" s="15">
        <v>7</v>
      </c>
      <c r="BH25" s="15">
        <v>7</v>
      </c>
      <c r="BI25" s="14">
        <v>6</v>
      </c>
      <c r="BJ25" s="15">
        <v>7</v>
      </c>
      <c r="BK25" s="15">
        <v>7</v>
      </c>
      <c r="BL25" s="15">
        <v>7</v>
      </c>
      <c r="BM25" s="15">
        <v>7</v>
      </c>
      <c r="BN25" s="15">
        <v>7</v>
      </c>
      <c r="BO25" s="15">
        <v>7</v>
      </c>
      <c r="BP25" s="15">
        <v>7</v>
      </c>
      <c r="BQ25" s="32">
        <v>7</v>
      </c>
      <c r="BR25" s="15">
        <v>7</v>
      </c>
      <c r="BS25" s="15">
        <v>7</v>
      </c>
      <c r="BT25" s="15" t="s">
        <v>157</v>
      </c>
      <c r="BU25" s="15" t="s">
        <v>99</v>
      </c>
    </row>
    <row r="26" spans="2:73">
      <c r="B26" s="1">
        <v>27</v>
      </c>
      <c r="C26" t="s">
        <v>204</v>
      </c>
      <c r="D26" s="36">
        <v>24</v>
      </c>
      <c r="E26" s="36">
        <v>24</v>
      </c>
      <c r="F26" t="s">
        <v>87</v>
      </c>
      <c r="G26" t="s">
        <v>88</v>
      </c>
      <c r="H26" t="s">
        <v>89</v>
      </c>
      <c r="I26" t="s">
        <v>90</v>
      </c>
      <c r="J26" t="s">
        <v>123</v>
      </c>
      <c r="K26" t="s">
        <v>91</v>
      </c>
      <c r="L26" t="s">
        <v>125</v>
      </c>
      <c r="M26" t="s">
        <v>79</v>
      </c>
      <c r="N26" t="s">
        <v>79</v>
      </c>
      <c r="O26" t="s">
        <v>77</v>
      </c>
      <c r="P26" t="s">
        <v>93</v>
      </c>
      <c r="Q26" t="s">
        <v>79</v>
      </c>
      <c r="R26" t="s">
        <v>79</v>
      </c>
      <c r="S26" t="s">
        <v>93</v>
      </c>
      <c r="T26" t="s">
        <v>80</v>
      </c>
      <c r="U26" s="34"/>
      <c r="V26" s="15" t="s">
        <v>205</v>
      </c>
      <c r="W26" s="14">
        <v>147</v>
      </c>
      <c r="X26" s="15">
        <v>7</v>
      </c>
      <c r="Y26" s="15">
        <v>7</v>
      </c>
      <c r="Z26" s="15">
        <v>7</v>
      </c>
      <c r="AA26" s="15">
        <v>7</v>
      </c>
      <c r="AB26" s="15">
        <v>7</v>
      </c>
      <c r="AC26" s="14">
        <v>5</v>
      </c>
      <c r="AD26" s="15">
        <v>7</v>
      </c>
      <c r="AE26" s="15">
        <v>7</v>
      </c>
      <c r="AF26" s="15">
        <v>7</v>
      </c>
      <c r="AG26" s="15">
        <v>7</v>
      </c>
      <c r="AH26" s="14">
        <v>6</v>
      </c>
      <c r="AI26" s="15">
        <v>4</v>
      </c>
      <c r="AJ26" s="15">
        <v>7</v>
      </c>
      <c r="AK26" s="15">
        <v>7</v>
      </c>
      <c r="AL26" s="15">
        <v>7</v>
      </c>
      <c r="AM26" s="15">
        <v>7</v>
      </c>
      <c r="AN26" s="15">
        <v>7</v>
      </c>
      <c r="AO26" s="15">
        <v>7</v>
      </c>
      <c r="AP26" s="15">
        <v>7</v>
      </c>
      <c r="AQ26" s="35">
        <v>6</v>
      </c>
      <c r="AR26" s="15">
        <v>7</v>
      </c>
      <c r="AS26" s="15">
        <v>7</v>
      </c>
      <c r="AT26" s="15" t="s">
        <v>206</v>
      </c>
      <c r="AU26" s="15" t="s">
        <v>207</v>
      </c>
      <c r="AW26" s="14">
        <v>144</v>
      </c>
      <c r="AX26" s="14">
        <v>6</v>
      </c>
      <c r="AY26" s="14">
        <v>6</v>
      </c>
      <c r="AZ26" s="15">
        <v>7</v>
      </c>
      <c r="BA26" s="15">
        <v>7</v>
      </c>
      <c r="BB26" s="14">
        <v>6</v>
      </c>
      <c r="BC26" s="15">
        <v>7</v>
      </c>
      <c r="BD26" s="14">
        <v>5</v>
      </c>
      <c r="BE26" s="14">
        <v>5</v>
      </c>
      <c r="BF26" s="14">
        <v>6</v>
      </c>
      <c r="BG26" s="15">
        <v>7</v>
      </c>
      <c r="BH26" s="15">
        <v>7</v>
      </c>
      <c r="BI26" s="15">
        <v>7</v>
      </c>
      <c r="BJ26" s="14">
        <v>6</v>
      </c>
      <c r="BK26" s="15">
        <v>7</v>
      </c>
      <c r="BL26" s="15">
        <v>7</v>
      </c>
      <c r="BM26" s="15">
        <v>7</v>
      </c>
      <c r="BN26" s="15">
        <v>7</v>
      </c>
      <c r="BO26" s="14">
        <v>6</v>
      </c>
      <c r="BP26" s="15">
        <v>7</v>
      </c>
      <c r="BQ26" s="32">
        <v>7</v>
      </c>
      <c r="BR26" s="15">
        <v>7</v>
      </c>
      <c r="BS26" s="15">
        <v>7</v>
      </c>
      <c r="BT26" s="15" t="s">
        <v>96</v>
      </c>
      <c r="BU26" s="15" t="s">
        <v>208</v>
      </c>
    </row>
    <row r="27" spans="2:73">
      <c r="B27" s="1">
        <v>28</v>
      </c>
      <c r="C27" s="15" t="s">
        <v>209</v>
      </c>
      <c r="D27" s="14">
        <v>29</v>
      </c>
      <c r="E27" s="14">
        <v>23</v>
      </c>
      <c r="F27" s="15" t="s">
        <v>87</v>
      </c>
      <c r="G27" s="15" t="s">
        <v>88</v>
      </c>
      <c r="H27" s="15" t="s">
        <v>89</v>
      </c>
      <c r="I27" s="15" t="s">
        <v>73</v>
      </c>
      <c r="J27" s="15" t="s">
        <v>74</v>
      </c>
      <c r="K27" s="15" t="s">
        <v>210</v>
      </c>
      <c r="L27" s="15" t="s">
        <v>125</v>
      </c>
      <c r="M27" s="15" t="s">
        <v>93</v>
      </c>
      <c r="N27" s="15" t="s">
        <v>79</v>
      </c>
      <c r="O27" s="15" t="s">
        <v>77</v>
      </c>
      <c r="P27" s="15" t="s">
        <v>77</v>
      </c>
      <c r="Q27" s="15" t="s">
        <v>79</v>
      </c>
      <c r="R27" s="15" t="s">
        <v>79</v>
      </c>
      <c r="S27" s="15" t="s">
        <v>93</v>
      </c>
      <c r="T27" s="15" t="s">
        <v>77</v>
      </c>
      <c r="U27" s="34"/>
      <c r="V27" s="15" t="s">
        <v>100</v>
      </c>
      <c r="W27" s="14">
        <v>124</v>
      </c>
      <c r="X27" s="14">
        <v>3</v>
      </c>
      <c r="Y27" s="14">
        <v>5</v>
      </c>
      <c r="Z27" s="14">
        <v>6</v>
      </c>
      <c r="AA27" s="14">
        <v>5</v>
      </c>
      <c r="AB27" s="14">
        <v>5</v>
      </c>
      <c r="AC27" s="14">
        <v>6</v>
      </c>
      <c r="AD27" s="14">
        <v>6</v>
      </c>
      <c r="AE27" s="14">
        <v>6</v>
      </c>
      <c r="AF27" s="14">
        <v>6</v>
      </c>
      <c r="AG27" s="14">
        <v>5</v>
      </c>
      <c r="AH27" s="14">
        <v>6</v>
      </c>
      <c r="AI27" s="14">
        <v>6</v>
      </c>
      <c r="AJ27" s="15">
        <v>7</v>
      </c>
      <c r="AK27" s="14">
        <v>6</v>
      </c>
      <c r="AL27" s="14">
        <v>6</v>
      </c>
      <c r="AM27" s="14">
        <v>5</v>
      </c>
      <c r="AN27" s="15">
        <v>4</v>
      </c>
      <c r="AO27" s="15">
        <v>7</v>
      </c>
      <c r="AP27" s="15">
        <v>7</v>
      </c>
      <c r="AQ27" s="35">
        <v>6</v>
      </c>
      <c r="AR27" s="14">
        <v>6</v>
      </c>
      <c r="AS27" s="14">
        <v>5</v>
      </c>
      <c r="AT27" s="15" t="s">
        <v>84</v>
      </c>
      <c r="AU27" s="15" t="s">
        <v>211</v>
      </c>
      <c r="AW27" s="14">
        <v>127</v>
      </c>
      <c r="AX27" s="14">
        <v>3</v>
      </c>
      <c r="AY27" s="14">
        <v>6</v>
      </c>
      <c r="AZ27" s="14">
        <v>6</v>
      </c>
      <c r="BA27" s="14">
        <v>6</v>
      </c>
      <c r="BB27" s="14">
        <v>6</v>
      </c>
      <c r="BC27" s="15">
        <v>7</v>
      </c>
      <c r="BD27" s="14">
        <v>6</v>
      </c>
      <c r="BE27" s="15">
        <v>4</v>
      </c>
      <c r="BF27" s="15">
        <v>7</v>
      </c>
      <c r="BG27" s="14">
        <v>5</v>
      </c>
      <c r="BH27" s="15">
        <v>7</v>
      </c>
      <c r="BI27" s="15">
        <v>7</v>
      </c>
      <c r="BJ27" s="15">
        <v>7</v>
      </c>
      <c r="BK27" s="14">
        <v>5</v>
      </c>
      <c r="BL27" s="14">
        <v>6</v>
      </c>
      <c r="BM27" s="14">
        <v>6</v>
      </c>
      <c r="BN27" s="15">
        <v>7</v>
      </c>
      <c r="BO27" s="14">
        <v>6</v>
      </c>
      <c r="BP27" s="15">
        <v>7</v>
      </c>
      <c r="BQ27" s="32">
        <v>7</v>
      </c>
      <c r="BR27" s="15" t="s">
        <v>155</v>
      </c>
      <c r="BS27" s="14">
        <v>6</v>
      </c>
      <c r="BT27" s="15" t="s">
        <v>135</v>
      </c>
      <c r="BU27" s="15" t="s">
        <v>212</v>
      </c>
    </row>
    <row r="28" spans="2:73">
      <c r="B28" s="1">
        <v>29</v>
      </c>
      <c r="C28" t="s">
        <v>213</v>
      </c>
      <c r="D28" s="36">
        <v>37</v>
      </c>
      <c r="E28" s="36">
        <v>23</v>
      </c>
      <c r="F28" t="s">
        <v>87</v>
      </c>
      <c r="G28" t="s">
        <v>88</v>
      </c>
      <c r="H28" t="s">
        <v>89</v>
      </c>
      <c r="I28" t="s">
        <v>102</v>
      </c>
      <c r="J28" t="s">
        <v>74</v>
      </c>
      <c r="K28" t="s">
        <v>131</v>
      </c>
      <c r="L28" t="s">
        <v>92</v>
      </c>
      <c r="M28" t="s">
        <v>79</v>
      </c>
      <c r="N28" t="s">
        <v>79</v>
      </c>
      <c r="O28" t="s">
        <v>78</v>
      </c>
      <c r="P28" t="s">
        <v>78</v>
      </c>
      <c r="Q28" t="s">
        <v>79</v>
      </c>
      <c r="R28" t="s">
        <v>77</v>
      </c>
      <c r="S28" t="s">
        <v>78</v>
      </c>
      <c r="T28" t="s">
        <v>78</v>
      </c>
      <c r="U28" s="34"/>
      <c r="V28" s="15" t="s">
        <v>145</v>
      </c>
      <c r="W28" s="14">
        <v>109</v>
      </c>
      <c r="X28" s="14">
        <v>3</v>
      </c>
      <c r="Y28" s="15">
        <v>4</v>
      </c>
      <c r="Z28" s="15">
        <v>4</v>
      </c>
      <c r="AA28" s="14">
        <v>5</v>
      </c>
      <c r="AB28" s="15">
        <v>4</v>
      </c>
      <c r="AC28" s="14">
        <v>2</v>
      </c>
      <c r="AD28" s="15">
        <v>4</v>
      </c>
      <c r="AE28" s="14">
        <v>5</v>
      </c>
      <c r="AF28" s="14">
        <v>2</v>
      </c>
      <c r="AG28" s="14">
        <v>5</v>
      </c>
      <c r="AH28" s="14">
        <v>5</v>
      </c>
      <c r="AI28" s="14">
        <v>6</v>
      </c>
      <c r="AJ28" s="14">
        <v>5</v>
      </c>
      <c r="AK28" s="14">
        <v>6</v>
      </c>
      <c r="AL28" s="14">
        <v>6</v>
      </c>
      <c r="AM28" s="15">
        <v>7</v>
      </c>
      <c r="AN28" s="15">
        <v>7</v>
      </c>
      <c r="AO28" s="14">
        <v>6</v>
      </c>
      <c r="AP28" s="14">
        <v>6</v>
      </c>
      <c r="AQ28" s="35">
        <v>5</v>
      </c>
      <c r="AR28" s="14">
        <v>6</v>
      </c>
      <c r="AS28" s="14">
        <v>6</v>
      </c>
      <c r="AT28" s="15" t="s">
        <v>214</v>
      </c>
      <c r="AU28" s="15" t="s">
        <v>99</v>
      </c>
      <c r="AW28" s="14">
        <v>118</v>
      </c>
      <c r="AX28" s="15">
        <v>4</v>
      </c>
      <c r="AY28" s="15">
        <v>7</v>
      </c>
      <c r="AZ28" s="14">
        <v>6</v>
      </c>
      <c r="BA28" s="15">
        <v>7</v>
      </c>
      <c r="BB28" s="15">
        <v>7</v>
      </c>
      <c r="BC28" s="14">
        <v>6</v>
      </c>
      <c r="BD28" s="14">
        <v>6</v>
      </c>
      <c r="BE28" s="15">
        <v>4</v>
      </c>
      <c r="BF28" s="15">
        <v>4</v>
      </c>
      <c r="BG28" s="14">
        <v>6</v>
      </c>
      <c r="BH28" s="15">
        <v>4</v>
      </c>
      <c r="BI28" s="14">
        <v>3</v>
      </c>
      <c r="BJ28" s="14">
        <v>6</v>
      </c>
      <c r="BK28" s="14">
        <v>3</v>
      </c>
      <c r="BL28" s="14">
        <v>6</v>
      </c>
      <c r="BM28" s="14">
        <v>5</v>
      </c>
      <c r="BN28" s="14">
        <v>5</v>
      </c>
      <c r="BO28" s="14">
        <v>6</v>
      </c>
      <c r="BP28" s="14">
        <v>5</v>
      </c>
      <c r="BQ28" s="35">
        <v>6</v>
      </c>
      <c r="BR28" s="14">
        <v>6</v>
      </c>
      <c r="BS28" s="14">
        <v>6</v>
      </c>
      <c r="BT28" s="15" t="s">
        <v>215</v>
      </c>
      <c r="BU28" s="15" t="s">
        <v>216</v>
      </c>
    </row>
    <row r="29" spans="2:73">
      <c r="B29" s="1">
        <v>30</v>
      </c>
      <c r="C29" t="s">
        <v>217</v>
      </c>
      <c r="D29" s="36">
        <v>34</v>
      </c>
      <c r="E29" s="36">
        <v>23</v>
      </c>
      <c r="F29" t="s">
        <v>87</v>
      </c>
      <c r="G29" t="s">
        <v>88</v>
      </c>
      <c r="H29" t="s">
        <v>89</v>
      </c>
      <c r="I29" t="s">
        <v>102</v>
      </c>
      <c r="J29" t="s">
        <v>74</v>
      </c>
      <c r="K29" t="s">
        <v>104</v>
      </c>
      <c r="L29" t="s">
        <v>92</v>
      </c>
      <c r="M29" t="s">
        <v>78</v>
      </c>
      <c r="N29" t="s">
        <v>79</v>
      </c>
      <c r="O29" t="s">
        <v>77</v>
      </c>
      <c r="P29" t="s">
        <v>79</v>
      </c>
      <c r="Q29" t="s">
        <v>77</v>
      </c>
      <c r="R29" t="s">
        <v>77</v>
      </c>
      <c r="S29" t="s">
        <v>79</v>
      </c>
      <c r="T29" t="s">
        <v>77</v>
      </c>
      <c r="U29" s="34"/>
      <c r="V29" s="15" t="s">
        <v>218</v>
      </c>
      <c r="W29" s="14">
        <v>140</v>
      </c>
      <c r="X29" s="15">
        <v>7</v>
      </c>
      <c r="Y29" s="15" t="s">
        <v>155</v>
      </c>
      <c r="Z29" s="15" t="s">
        <v>155</v>
      </c>
      <c r="AA29" s="15">
        <v>7</v>
      </c>
      <c r="AB29" s="15">
        <v>7</v>
      </c>
      <c r="AC29" s="15">
        <v>7</v>
      </c>
      <c r="AD29" s="15">
        <v>7</v>
      </c>
      <c r="AE29" s="15">
        <v>7</v>
      </c>
      <c r="AF29" s="15">
        <v>7</v>
      </c>
      <c r="AG29" s="15">
        <v>7</v>
      </c>
      <c r="AH29" s="15">
        <v>7</v>
      </c>
      <c r="AI29" s="15">
        <v>7</v>
      </c>
      <c r="AJ29" s="15">
        <v>7</v>
      </c>
      <c r="AK29" s="15">
        <v>7</v>
      </c>
      <c r="AL29" s="15">
        <v>7</v>
      </c>
      <c r="AM29" s="15">
        <v>7</v>
      </c>
      <c r="AN29" s="15">
        <v>7</v>
      </c>
      <c r="AO29" s="15">
        <v>7</v>
      </c>
      <c r="AP29" s="15">
        <v>7</v>
      </c>
      <c r="AQ29" s="32">
        <v>7</v>
      </c>
      <c r="AR29" s="15">
        <v>7</v>
      </c>
      <c r="AS29" s="15">
        <v>7</v>
      </c>
      <c r="AT29" s="15" t="s">
        <v>135</v>
      </c>
      <c r="AU29" s="15" t="s">
        <v>99</v>
      </c>
      <c r="AW29" s="14">
        <v>140</v>
      </c>
      <c r="AX29" s="15">
        <v>7</v>
      </c>
      <c r="AY29" s="15" t="s">
        <v>155</v>
      </c>
      <c r="AZ29" s="15" t="s">
        <v>155</v>
      </c>
      <c r="BA29" s="15">
        <v>7</v>
      </c>
      <c r="BB29" s="15">
        <v>7</v>
      </c>
      <c r="BC29" s="15">
        <v>7</v>
      </c>
      <c r="BD29" s="15">
        <v>7</v>
      </c>
      <c r="BE29" s="15">
        <v>7</v>
      </c>
      <c r="BF29" s="15">
        <v>7</v>
      </c>
      <c r="BG29" s="15">
        <v>7</v>
      </c>
      <c r="BH29" s="15">
        <v>7</v>
      </c>
      <c r="BI29" s="15">
        <v>7</v>
      </c>
      <c r="BJ29" s="15">
        <v>7</v>
      </c>
      <c r="BK29" s="15">
        <v>7</v>
      </c>
      <c r="BL29" s="15">
        <v>7</v>
      </c>
      <c r="BM29" s="15">
        <v>7</v>
      </c>
      <c r="BN29" s="15">
        <v>7</v>
      </c>
      <c r="BO29" s="15">
        <v>7</v>
      </c>
      <c r="BP29" s="15">
        <v>7</v>
      </c>
      <c r="BQ29" s="32">
        <v>7</v>
      </c>
      <c r="BR29" s="15">
        <v>7</v>
      </c>
      <c r="BS29" s="15">
        <v>7</v>
      </c>
      <c r="BT29" s="15" t="s">
        <v>135</v>
      </c>
      <c r="BU29" s="15" t="s">
        <v>99</v>
      </c>
    </row>
    <row r="30" spans="2:73">
      <c r="B30" s="1">
        <v>31</v>
      </c>
      <c r="C30" t="s">
        <v>219</v>
      </c>
      <c r="D30" s="36">
        <v>35</v>
      </c>
      <c r="E30" s="36">
        <v>23</v>
      </c>
      <c r="F30" t="s">
        <v>87</v>
      </c>
      <c r="G30" t="s">
        <v>88</v>
      </c>
      <c r="H30" t="s">
        <v>89</v>
      </c>
      <c r="I30" t="s">
        <v>90</v>
      </c>
      <c r="J30" t="s">
        <v>74</v>
      </c>
      <c r="K30" t="s">
        <v>116</v>
      </c>
      <c r="L30" t="s">
        <v>92</v>
      </c>
      <c r="M30" t="s">
        <v>77</v>
      </c>
      <c r="N30" t="s">
        <v>77</v>
      </c>
      <c r="O30" t="s">
        <v>78</v>
      </c>
      <c r="P30" t="s">
        <v>77</v>
      </c>
      <c r="Q30" t="s">
        <v>77</v>
      </c>
      <c r="R30" t="s">
        <v>77</v>
      </c>
      <c r="S30" t="s">
        <v>93</v>
      </c>
      <c r="T30" t="s">
        <v>77</v>
      </c>
      <c r="V30" t="s">
        <v>220</v>
      </c>
      <c r="W30">
        <v>140</v>
      </c>
      <c r="X30">
        <v>7</v>
      </c>
      <c r="Y30" t="s">
        <v>95</v>
      </c>
      <c r="Z30" t="s">
        <v>95</v>
      </c>
      <c r="AA30">
        <v>7</v>
      </c>
      <c r="AB30">
        <v>7</v>
      </c>
      <c r="AC30">
        <v>7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7</v>
      </c>
      <c r="AK30">
        <v>7</v>
      </c>
      <c r="AL30">
        <v>7</v>
      </c>
      <c r="AM30">
        <v>7</v>
      </c>
      <c r="AN30">
        <v>7</v>
      </c>
      <c r="AO30">
        <v>7</v>
      </c>
      <c r="AP30">
        <v>7</v>
      </c>
      <c r="AQ30" s="27">
        <v>7</v>
      </c>
      <c r="AR30">
        <v>7</v>
      </c>
      <c r="AS30">
        <v>7</v>
      </c>
      <c r="AT30" t="s">
        <v>221</v>
      </c>
      <c r="AU30" t="s">
        <v>166</v>
      </c>
      <c r="AW30" s="15">
        <v>140</v>
      </c>
      <c r="AX30" s="15">
        <v>6</v>
      </c>
      <c r="AY30" s="15">
        <v>6</v>
      </c>
      <c r="AZ30" s="15" t="s">
        <v>95</v>
      </c>
      <c r="BA30" s="15">
        <v>7</v>
      </c>
      <c r="BB30" s="15">
        <v>7</v>
      </c>
      <c r="BC30" s="15">
        <v>7</v>
      </c>
      <c r="BD30" s="15">
        <v>7</v>
      </c>
      <c r="BE30" s="15">
        <v>6</v>
      </c>
      <c r="BF30" s="15">
        <v>6</v>
      </c>
      <c r="BG30" s="15">
        <v>7</v>
      </c>
      <c r="BH30" s="15">
        <v>7</v>
      </c>
      <c r="BI30" s="15">
        <v>7</v>
      </c>
      <c r="BJ30" s="15">
        <v>7</v>
      </c>
      <c r="BK30" s="15">
        <v>6</v>
      </c>
      <c r="BL30" s="15">
        <v>6</v>
      </c>
      <c r="BM30" s="15">
        <v>6</v>
      </c>
      <c r="BN30" s="15">
        <v>7</v>
      </c>
      <c r="BO30" s="15">
        <v>7</v>
      </c>
      <c r="BP30" s="15">
        <v>7</v>
      </c>
      <c r="BQ30" s="32">
        <v>7</v>
      </c>
      <c r="BR30" s="15">
        <v>7</v>
      </c>
      <c r="BS30" s="15">
        <v>7</v>
      </c>
      <c r="BT30" s="15" t="s">
        <v>222</v>
      </c>
      <c r="BU30" s="15" t="s">
        <v>99</v>
      </c>
    </row>
    <row r="31" spans="2:73">
      <c r="B31" s="1">
        <v>32</v>
      </c>
      <c r="C31" t="s">
        <v>187</v>
      </c>
      <c r="D31" s="36">
        <v>35</v>
      </c>
      <c r="E31" s="36">
        <v>23</v>
      </c>
      <c r="F31" t="s">
        <v>70</v>
      </c>
      <c r="G31" t="s">
        <v>88</v>
      </c>
      <c r="H31" t="s">
        <v>101</v>
      </c>
      <c r="I31" t="s">
        <v>90</v>
      </c>
      <c r="J31" t="s">
        <v>74</v>
      </c>
      <c r="K31" t="s">
        <v>223</v>
      </c>
      <c r="L31" t="s">
        <v>125</v>
      </c>
      <c r="M31" t="s">
        <v>77</v>
      </c>
      <c r="N31" t="s">
        <v>78</v>
      </c>
      <c r="O31" t="s">
        <v>78</v>
      </c>
      <c r="P31" t="s">
        <v>78</v>
      </c>
      <c r="Q31" t="s">
        <v>79</v>
      </c>
      <c r="R31" t="s">
        <v>77</v>
      </c>
      <c r="S31" t="s">
        <v>93</v>
      </c>
      <c r="T31" t="s">
        <v>79</v>
      </c>
      <c r="U31" s="34"/>
      <c r="V31" s="15" t="s">
        <v>224</v>
      </c>
      <c r="W31" s="14">
        <v>128</v>
      </c>
      <c r="X31" s="14">
        <v>6</v>
      </c>
      <c r="Y31" s="14">
        <v>5</v>
      </c>
      <c r="Z31" s="14">
        <v>3</v>
      </c>
      <c r="AA31" s="14">
        <v>6</v>
      </c>
      <c r="AB31" s="14">
        <v>6</v>
      </c>
      <c r="AC31" s="14">
        <v>6</v>
      </c>
      <c r="AD31" s="14">
        <v>6</v>
      </c>
      <c r="AE31" s="14">
        <v>6</v>
      </c>
      <c r="AF31" s="14">
        <v>5</v>
      </c>
      <c r="AG31" s="14">
        <v>6</v>
      </c>
      <c r="AH31" s="14">
        <v>6</v>
      </c>
      <c r="AI31" s="14">
        <v>6</v>
      </c>
      <c r="AJ31" s="14">
        <v>6</v>
      </c>
      <c r="AK31" s="14">
        <v>6</v>
      </c>
      <c r="AL31" s="14">
        <v>6</v>
      </c>
      <c r="AM31" s="14">
        <v>6</v>
      </c>
      <c r="AN31" s="14">
        <v>6</v>
      </c>
      <c r="AO31" s="14">
        <v>6</v>
      </c>
      <c r="AP31" s="14">
        <v>6</v>
      </c>
      <c r="AQ31" s="35">
        <v>6</v>
      </c>
      <c r="AR31" s="15">
        <v>7</v>
      </c>
      <c r="AS31" s="14">
        <v>6</v>
      </c>
      <c r="AT31" s="15" t="s">
        <v>157</v>
      </c>
      <c r="AU31" s="15" t="s">
        <v>225</v>
      </c>
      <c r="AW31" s="14">
        <v>122</v>
      </c>
      <c r="AX31" s="14">
        <v>5</v>
      </c>
      <c r="AY31" s="15">
        <v>4</v>
      </c>
      <c r="AZ31" s="14">
        <v>3</v>
      </c>
      <c r="BA31" s="14">
        <v>6</v>
      </c>
      <c r="BB31" s="14">
        <v>6</v>
      </c>
      <c r="BC31" s="14">
        <v>6</v>
      </c>
      <c r="BD31" s="14">
        <v>6</v>
      </c>
      <c r="BE31" s="14">
        <v>6</v>
      </c>
      <c r="BF31" s="15">
        <v>4</v>
      </c>
      <c r="BG31" s="14">
        <v>6</v>
      </c>
      <c r="BH31" s="14">
        <v>6</v>
      </c>
      <c r="BI31" s="14">
        <v>6</v>
      </c>
      <c r="BJ31" s="14">
        <v>6</v>
      </c>
      <c r="BK31" s="14">
        <v>6</v>
      </c>
      <c r="BL31" s="14">
        <v>6</v>
      </c>
      <c r="BM31" s="14">
        <v>6</v>
      </c>
      <c r="BN31" s="14">
        <v>5</v>
      </c>
      <c r="BO31" s="14">
        <v>5</v>
      </c>
      <c r="BP31" s="14">
        <v>6</v>
      </c>
      <c r="BQ31" s="35">
        <v>6</v>
      </c>
      <c r="BR31" s="14">
        <v>6</v>
      </c>
      <c r="BS31" s="14">
        <v>6</v>
      </c>
      <c r="BT31" s="15" t="s">
        <v>141</v>
      </c>
      <c r="BU31" s="15" t="s">
        <v>226</v>
      </c>
    </row>
    <row r="32" spans="2:73">
      <c r="B32" s="1">
        <v>33</v>
      </c>
      <c r="C32" t="s">
        <v>227</v>
      </c>
      <c r="D32" s="36">
        <v>39</v>
      </c>
      <c r="E32" s="36">
        <v>20</v>
      </c>
      <c r="F32" t="s">
        <v>70</v>
      </c>
      <c r="G32" t="s">
        <v>71</v>
      </c>
      <c r="H32" t="s">
        <v>89</v>
      </c>
      <c r="I32" t="s">
        <v>102</v>
      </c>
      <c r="J32" t="s">
        <v>103</v>
      </c>
      <c r="K32" t="s">
        <v>228</v>
      </c>
      <c r="L32" t="s">
        <v>92</v>
      </c>
      <c r="M32" t="s">
        <v>78</v>
      </c>
      <c r="N32" t="s">
        <v>78</v>
      </c>
      <c r="O32" t="s">
        <v>78</v>
      </c>
      <c r="P32" t="s">
        <v>78</v>
      </c>
      <c r="Q32" t="s">
        <v>78</v>
      </c>
      <c r="R32" t="s">
        <v>78</v>
      </c>
      <c r="S32" t="s">
        <v>93</v>
      </c>
      <c r="T32" t="s">
        <v>93</v>
      </c>
      <c r="U32" s="34"/>
      <c r="V32" s="15" t="s">
        <v>229</v>
      </c>
      <c r="W32" s="14">
        <v>145</v>
      </c>
      <c r="X32" s="14">
        <v>6</v>
      </c>
      <c r="Y32" s="14">
        <v>6</v>
      </c>
      <c r="Z32" s="15">
        <v>7</v>
      </c>
      <c r="AA32" s="14">
        <v>6</v>
      </c>
      <c r="AB32" s="15">
        <v>7</v>
      </c>
      <c r="AC32" s="15">
        <v>7</v>
      </c>
      <c r="AD32" s="15">
        <v>7</v>
      </c>
      <c r="AE32" s="14">
        <v>6</v>
      </c>
      <c r="AF32" s="14">
        <v>5</v>
      </c>
      <c r="AG32" s="14">
        <v>6</v>
      </c>
      <c r="AH32" s="15">
        <v>7</v>
      </c>
      <c r="AI32" s="15">
        <v>7</v>
      </c>
      <c r="AJ32" s="15">
        <v>7</v>
      </c>
      <c r="AK32" s="14">
        <v>6</v>
      </c>
      <c r="AL32" s="15">
        <v>7</v>
      </c>
      <c r="AM32" s="14">
        <v>6</v>
      </c>
      <c r="AN32" s="15">
        <v>7</v>
      </c>
      <c r="AO32" s="15">
        <v>7</v>
      </c>
      <c r="AP32" s="15">
        <v>7</v>
      </c>
      <c r="AQ32" s="32">
        <v>7</v>
      </c>
      <c r="AR32" s="15">
        <v>7</v>
      </c>
      <c r="AS32" s="15">
        <v>7</v>
      </c>
      <c r="AT32" s="15" t="s">
        <v>84</v>
      </c>
      <c r="AU32" s="15" t="s">
        <v>230</v>
      </c>
      <c r="AW32" s="14">
        <v>123</v>
      </c>
      <c r="AX32" s="14">
        <v>5</v>
      </c>
      <c r="AY32" s="14">
        <v>3</v>
      </c>
      <c r="AZ32" s="14">
        <v>6</v>
      </c>
      <c r="BA32" s="14">
        <v>6</v>
      </c>
      <c r="BB32" s="14">
        <v>5</v>
      </c>
      <c r="BC32" s="14">
        <v>6</v>
      </c>
      <c r="BD32" s="14">
        <v>6</v>
      </c>
      <c r="BE32" s="15">
        <v>4</v>
      </c>
      <c r="BF32" s="15">
        <v>4</v>
      </c>
      <c r="BG32" s="14">
        <v>5</v>
      </c>
      <c r="BH32" s="15">
        <v>7</v>
      </c>
      <c r="BI32" s="14">
        <v>5</v>
      </c>
      <c r="BJ32" s="14">
        <v>6</v>
      </c>
      <c r="BK32" s="14">
        <v>5</v>
      </c>
      <c r="BL32" s="15">
        <v>7</v>
      </c>
      <c r="BM32" s="14">
        <v>5</v>
      </c>
      <c r="BN32" s="14">
        <v>6</v>
      </c>
      <c r="BO32" s="14">
        <v>6</v>
      </c>
      <c r="BP32" s="15">
        <v>7</v>
      </c>
      <c r="BQ32" s="35">
        <v>6</v>
      </c>
      <c r="BR32" s="15">
        <v>7</v>
      </c>
      <c r="BS32" s="14">
        <v>6</v>
      </c>
      <c r="BT32" s="15" t="s">
        <v>98</v>
      </c>
      <c r="BU32" s="15" t="s">
        <v>231</v>
      </c>
    </row>
    <row r="33" spans="1:144">
      <c r="B33" s="1">
        <v>34</v>
      </c>
      <c r="C33" t="s">
        <v>115</v>
      </c>
      <c r="D33" s="36">
        <v>33</v>
      </c>
      <c r="E33" s="36">
        <v>22</v>
      </c>
      <c r="F33" t="s">
        <v>87</v>
      </c>
      <c r="G33" t="s">
        <v>88</v>
      </c>
      <c r="H33" t="s">
        <v>89</v>
      </c>
      <c r="I33" t="s">
        <v>90</v>
      </c>
      <c r="J33" t="s">
        <v>74</v>
      </c>
      <c r="K33" t="s">
        <v>232</v>
      </c>
      <c r="L33" t="s">
        <v>92</v>
      </c>
      <c r="M33" t="s">
        <v>79</v>
      </c>
      <c r="N33" t="s">
        <v>78</v>
      </c>
      <c r="O33" t="s">
        <v>78</v>
      </c>
      <c r="P33" t="s">
        <v>78</v>
      </c>
      <c r="Q33" t="s">
        <v>79</v>
      </c>
      <c r="R33" t="s">
        <v>77</v>
      </c>
      <c r="S33" t="s">
        <v>80</v>
      </c>
      <c r="T33" t="s">
        <v>79</v>
      </c>
      <c r="U33" s="34"/>
      <c r="V33" s="15" t="s">
        <v>233</v>
      </c>
      <c r="W33" s="14">
        <v>122</v>
      </c>
      <c r="X33" s="14">
        <v>5</v>
      </c>
      <c r="Y33" s="14">
        <v>5</v>
      </c>
      <c r="Z33" s="14">
        <v>5</v>
      </c>
      <c r="AA33" s="14">
        <v>6</v>
      </c>
      <c r="AB33" s="14">
        <v>6</v>
      </c>
      <c r="AC33" s="14">
        <v>6</v>
      </c>
      <c r="AD33" s="14">
        <v>6</v>
      </c>
      <c r="AE33" s="14">
        <v>5</v>
      </c>
      <c r="AF33" s="14">
        <v>6</v>
      </c>
      <c r="AG33" s="14">
        <v>5</v>
      </c>
      <c r="AH33" s="14">
        <v>5</v>
      </c>
      <c r="AI33" s="14">
        <v>5</v>
      </c>
      <c r="AJ33" s="14">
        <v>6</v>
      </c>
      <c r="AK33" s="14">
        <v>5</v>
      </c>
      <c r="AL33" s="14">
        <v>6</v>
      </c>
      <c r="AM33" s="14">
        <v>6</v>
      </c>
      <c r="AN33" s="14">
        <v>5</v>
      </c>
      <c r="AO33" s="14">
        <v>6</v>
      </c>
      <c r="AP33" s="14">
        <v>5</v>
      </c>
      <c r="AQ33" s="35">
        <v>6</v>
      </c>
      <c r="AR33" s="14">
        <v>6</v>
      </c>
      <c r="AS33" s="14">
        <v>6</v>
      </c>
      <c r="AT33" s="15" t="s">
        <v>98</v>
      </c>
      <c r="AU33" s="15" t="s">
        <v>99</v>
      </c>
      <c r="AW33" s="14">
        <v>101</v>
      </c>
      <c r="AX33" s="14">
        <v>5</v>
      </c>
      <c r="AY33" s="14">
        <v>5</v>
      </c>
      <c r="AZ33" s="14">
        <v>5</v>
      </c>
      <c r="BA33" s="14">
        <v>5</v>
      </c>
      <c r="BB33" s="14">
        <v>5</v>
      </c>
      <c r="BC33" s="15">
        <v>4</v>
      </c>
      <c r="BD33" s="14">
        <v>5</v>
      </c>
      <c r="BE33" s="15">
        <v>4</v>
      </c>
      <c r="BF33" s="14">
        <v>5</v>
      </c>
      <c r="BG33" s="14">
        <v>5</v>
      </c>
      <c r="BH33" s="15">
        <v>4</v>
      </c>
      <c r="BI33" s="14">
        <v>5</v>
      </c>
      <c r="BJ33" s="15">
        <v>4</v>
      </c>
      <c r="BK33" s="14">
        <v>5</v>
      </c>
      <c r="BL33" s="14">
        <v>5</v>
      </c>
      <c r="BM33" s="15">
        <v>4</v>
      </c>
      <c r="BN33" s="15">
        <v>4</v>
      </c>
      <c r="BO33" s="15">
        <v>4</v>
      </c>
      <c r="BP33" s="15">
        <v>4</v>
      </c>
      <c r="BQ33" s="35">
        <v>5</v>
      </c>
      <c r="BR33" s="14">
        <v>5</v>
      </c>
      <c r="BS33" s="15">
        <v>4</v>
      </c>
      <c r="BT33" s="15" t="s">
        <v>84</v>
      </c>
      <c r="BU33" s="15" t="s">
        <v>99</v>
      </c>
    </row>
    <row r="34" customFormat="1" spans="1:144">
      <c r="A34" s="33"/>
      <c r="B34" s="1">
        <v>35</v>
      </c>
      <c r="C34" t="s">
        <v>194</v>
      </c>
      <c r="D34" s="36">
        <v>33</v>
      </c>
      <c r="E34" s="36">
        <v>22</v>
      </c>
      <c r="F34" t="s">
        <v>87</v>
      </c>
      <c r="G34" t="s">
        <v>71</v>
      </c>
      <c r="H34" t="s">
        <v>72</v>
      </c>
      <c r="I34" t="s">
        <v>102</v>
      </c>
      <c r="J34" t="s">
        <v>103</v>
      </c>
      <c r="K34" t="s">
        <v>111</v>
      </c>
      <c r="L34" t="s">
        <v>92</v>
      </c>
      <c r="M34" t="s">
        <v>80</v>
      </c>
      <c r="N34" t="s">
        <v>77</v>
      </c>
      <c r="O34" t="s">
        <v>78</v>
      </c>
      <c r="P34" t="s">
        <v>78</v>
      </c>
      <c r="Q34" t="s">
        <v>78</v>
      </c>
      <c r="R34" t="s">
        <v>78</v>
      </c>
      <c r="S34" t="s">
        <v>80</v>
      </c>
      <c r="T34" t="s">
        <v>93</v>
      </c>
      <c r="U34" s="33"/>
      <c r="V34" t="s">
        <v>234</v>
      </c>
      <c r="W34">
        <v>119</v>
      </c>
      <c r="X34">
        <v>7</v>
      </c>
      <c r="Y34">
        <v>7</v>
      </c>
      <c r="Z34">
        <v>7</v>
      </c>
      <c r="AA34">
        <v>7</v>
      </c>
      <c r="AB34">
        <v>6</v>
      </c>
      <c r="AC34">
        <v>7</v>
      </c>
      <c r="AD34">
        <v>7</v>
      </c>
      <c r="AE34">
        <v>7</v>
      </c>
      <c r="AF34">
        <v>7</v>
      </c>
      <c r="AG34">
        <v>7</v>
      </c>
      <c r="AH34">
        <v>7</v>
      </c>
      <c r="AI34">
        <v>6</v>
      </c>
      <c r="AJ34">
        <v>6</v>
      </c>
      <c r="AK34">
        <v>7</v>
      </c>
      <c r="AL34">
        <v>7</v>
      </c>
      <c r="AM34">
        <v>7</v>
      </c>
      <c r="AN34">
        <v>7</v>
      </c>
      <c r="AO34">
        <v>7</v>
      </c>
      <c r="AP34">
        <v>7</v>
      </c>
      <c r="AQ34" s="27">
        <v>7</v>
      </c>
      <c r="AR34">
        <v>7</v>
      </c>
      <c r="AS34">
        <v>7</v>
      </c>
      <c r="AT34" t="s">
        <v>235</v>
      </c>
      <c r="AU34" t="s">
        <v>99</v>
      </c>
      <c r="AV34" s="33"/>
      <c r="AW34" s="15">
        <v>145</v>
      </c>
      <c r="AX34" s="15">
        <v>7</v>
      </c>
      <c r="AY34" s="15">
        <v>7</v>
      </c>
      <c r="AZ34" s="15" t="s">
        <v>95</v>
      </c>
      <c r="BA34" s="15">
        <v>7</v>
      </c>
      <c r="BB34" s="15">
        <v>7</v>
      </c>
      <c r="BC34" s="15">
        <v>7</v>
      </c>
      <c r="BD34" s="15">
        <v>7</v>
      </c>
      <c r="BE34" s="15">
        <v>6</v>
      </c>
      <c r="BF34" s="15">
        <v>7</v>
      </c>
      <c r="BG34" s="15">
        <v>7</v>
      </c>
      <c r="BH34" s="15">
        <v>7</v>
      </c>
      <c r="BI34" s="15">
        <v>7</v>
      </c>
      <c r="BJ34" s="15">
        <v>7</v>
      </c>
      <c r="BK34" s="15">
        <v>7</v>
      </c>
      <c r="BL34" s="15">
        <v>7</v>
      </c>
      <c r="BM34" s="15">
        <v>7</v>
      </c>
      <c r="BN34" s="15">
        <v>7</v>
      </c>
      <c r="BO34" s="15">
        <v>7</v>
      </c>
      <c r="BP34" s="15">
        <v>6</v>
      </c>
      <c r="BQ34" s="32">
        <v>7</v>
      </c>
      <c r="BR34" s="15">
        <v>7</v>
      </c>
      <c r="BS34" s="15">
        <v>7</v>
      </c>
      <c r="BT34" s="15" t="s">
        <v>135</v>
      </c>
      <c r="BU34" s="15" t="s">
        <v>99</v>
      </c>
    </row>
    <row r="35" spans="1:144">
      <c r="B35" s="1">
        <v>36</v>
      </c>
      <c r="C35" t="s">
        <v>236</v>
      </c>
      <c r="D35" s="36">
        <v>34</v>
      </c>
      <c r="E35" s="36">
        <v>21</v>
      </c>
      <c r="F35" t="s">
        <v>87</v>
      </c>
      <c r="G35" t="s">
        <v>71</v>
      </c>
      <c r="H35" t="s">
        <v>139</v>
      </c>
      <c r="I35" t="s">
        <v>237</v>
      </c>
      <c r="J35" t="s">
        <v>123</v>
      </c>
      <c r="K35" t="s">
        <v>131</v>
      </c>
      <c r="L35" t="s">
        <v>92</v>
      </c>
      <c r="M35" t="s">
        <v>78</v>
      </c>
      <c r="N35" t="s">
        <v>78</v>
      </c>
      <c r="O35" t="s">
        <v>78</v>
      </c>
      <c r="P35" t="s">
        <v>78</v>
      </c>
      <c r="Q35" t="s">
        <v>77</v>
      </c>
      <c r="R35" t="s">
        <v>77</v>
      </c>
      <c r="S35" t="s">
        <v>80</v>
      </c>
      <c r="T35" t="s">
        <v>93</v>
      </c>
      <c r="V35" t="s">
        <v>238</v>
      </c>
      <c r="W35">
        <v>151</v>
      </c>
      <c r="X35">
        <v>6</v>
      </c>
      <c r="Y35">
        <v>5</v>
      </c>
      <c r="Z35">
        <v>5</v>
      </c>
      <c r="AA35">
        <v>6</v>
      </c>
      <c r="AB35">
        <v>4</v>
      </c>
      <c r="AC35">
        <v>4</v>
      </c>
      <c r="AD35">
        <v>5</v>
      </c>
      <c r="AE35">
        <v>5</v>
      </c>
      <c r="AF35">
        <v>4</v>
      </c>
      <c r="AG35">
        <v>6</v>
      </c>
      <c r="AH35">
        <v>3</v>
      </c>
      <c r="AI35">
        <v>3</v>
      </c>
      <c r="AJ35">
        <v>5</v>
      </c>
      <c r="AK35">
        <v>4</v>
      </c>
      <c r="AL35">
        <v>6</v>
      </c>
      <c r="AM35">
        <v>6</v>
      </c>
      <c r="AN35">
        <v>5</v>
      </c>
      <c r="AO35">
        <v>7</v>
      </c>
      <c r="AP35">
        <v>6</v>
      </c>
      <c r="AQ35" s="27">
        <v>5</v>
      </c>
      <c r="AR35">
        <v>6</v>
      </c>
      <c r="AS35">
        <v>4</v>
      </c>
      <c r="AT35" t="s">
        <v>239</v>
      </c>
      <c r="AU35" t="s">
        <v>240</v>
      </c>
      <c r="AW35" s="15">
        <v>152</v>
      </c>
      <c r="AX35" s="15">
        <v>7</v>
      </c>
      <c r="AY35" s="15">
        <v>7</v>
      </c>
      <c r="AZ35" s="15">
        <v>7</v>
      </c>
      <c r="BA35" s="15">
        <v>7</v>
      </c>
      <c r="BB35" s="15">
        <v>7</v>
      </c>
      <c r="BC35" s="15">
        <v>7</v>
      </c>
      <c r="BD35" s="15">
        <v>7</v>
      </c>
      <c r="BE35" s="15">
        <v>7</v>
      </c>
      <c r="BF35" s="15">
        <v>7</v>
      </c>
      <c r="BG35" s="15">
        <v>6</v>
      </c>
      <c r="BH35" s="15">
        <v>7</v>
      </c>
      <c r="BI35" s="15">
        <v>6</v>
      </c>
      <c r="BJ35" s="15">
        <v>7</v>
      </c>
      <c r="BK35" s="15">
        <v>7</v>
      </c>
      <c r="BL35" s="15">
        <v>7</v>
      </c>
      <c r="BM35" s="15">
        <v>7</v>
      </c>
      <c r="BN35" s="15">
        <v>7</v>
      </c>
      <c r="BO35" s="15">
        <v>7</v>
      </c>
      <c r="BP35" s="15">
        <v>7</v>
      </c>
      <c r="BQ35" s="32">
        <v>7</v>
      </c>
      <c r="BR35" s="15">
        <v>7</v>
      </c>
      <c r="BS35" s="15">
        <v>7</v>
      </c>
      <c r="BT35" s="15" t="s">
        <v>96</v>
      </c>
      <c r="BU35" s="15" t="s">
        <v>99</v>
      </c>
    </row>
    <row r="36" spans="1:144">
      <c r="B36" s="1">
        <v>42</v>
      </c>
      <c r="C36" t="s">
        <v>205</v>
      </c>
      <c r="D36" s="36">
        <v>28</v>
      </c>
      <c r="E36" s="36">
        <v>21</v>
      </c>
      <c r="F36" t="s">
        <v>87</v>
      </c>
      <c r="G36" t="s">
        <v>71</v>
      </c>
      <c r="H36" t="s">
        <v>89</v>
      </c>
      <c r="I36" t="s">
        <v>90</v>
      </c>
      <c r="J36" t="s">
        <v>123</v>
      </c>
      <c r="K36" t="s">
        <v>116</v>
      </c>
      <c r="L36" t="s">
        <v>125</v>
      </c>
      <c r="M36" t="s">
        <v>93</v>
      </c>
      <c r="N36" t="s">
        <v>93</v>
      </c>
      <c r="O36" t="s">
        <v>79</v>
      </c>
      <c r="P36" t="s">
        <v>78</v>
      </c>
      <c r="Q36" t="s">
        <v>79</v>
      </c>
      <c r="R36" t="s">
        <v>79</v>
      </c>
      <c r="S36" t="s">
        <v>79</v>
      </c>
      <c r="T36" t="s">
        <v>77</v>
      </c>
      <c r="U36" s="34"/>
      <c r="V36" s="15" t="s">
        <v>241</v>
      </c>
      <c r="W36" s="14">
        <v>137</v>
      </c>
      <c r="X36" s="14">
        <v>6</v>
      </c>
      <c r="Y36" s="15">
        <v>7</v>
      </c>
      <c r="Z36" s="15">
        <v>7</v>
      </c>
      <c r="AA36" s="14">
        <v>6</v>
      </c>
      <c r="AB36" s="15">
        <v>4</v>
      </c>
      <c r="AC36" s="15">
        <v>4</v>
      </c>
      <c r="AD36" s="14">
        <v>6</v>
      </c>
      <c r="AE36" s="14">
        <v>6</v>
      </c>
      <c r="AF36" s="14">
        <v>5</v>
      </c>
      <c r="AG36" s="14">
        <v>6</v>
      </c>
      <c r="AH36" s="15">
        <v>7</v>
      </c>
      <c r="AI36" s="14">
        <v>5</v>
      </c>
      <c r="AJ36" s="15">
        <v>7</v>
      </c>
      <c r="AK36" s="15">
        <v>7</v>
      </c>
      <c r="AL36" s="15">
        <v>7</v>
      </c>
      <c r="AM36" s="15">
        <v>7</v>
      </c>
      <c r="AN36" s="15">
        <v>7</v>
      </c>
      <c r="AO36" s="15">
        <v>7</v>
      </c>
      <c r="AP36" s="15">
        <v>7</v>
      </c>
      <c r="AQ36" s="35">
        <v>6</v>
      </c>
      <c r="AR36" s="14">
        <v>6</v>
      </c>
      <c r="AS36" s="15">
        <v>7</v>
      </c>
      <c r="AT36" s="15" t="s">
        <v>242</v>
      </c>
      <c r="AU36" s="15" t="s">
        <v>99</v>
      </c>
      <c r="AW36" s="14">
        <v>153</v>
      </c>
      <c r="AX36" s="15">
        <v>7</v>
      </c>
      <c r="AY36" s="15">
        <v>7</v>
      </c>
      <c r="AZ36" s="15">
        <v>7</v>
      </c>
      <c r="BA36" s="15">
        <v>7</v>
      </c>
      <c r="BB36" s="15">
        <v>7</v>
      </c>
      <c r="BC36" s="15">
        <v>7</v>
      </c>
      <c r="BD36" s="15">
        <v>7</v>
      </c>
      <c r="BE36" s="15">
        <v>7</v>
      </c>
      <c r="BF36" s="15">
        <v>7</v>
      </c>
      <c r="BG36" s="15">
        <v>7</v>
      </c>
      <c r="BH36" s="15">
        <v>7</v>
      </c>
      <c r="BI36" s="15">
        <v>7</v>
      </c>
      <c r="BJ36" s="15">
        <v>7</v>
      </c>
      <c r="BK36" s="14">
        <v>6</v>
      </c>
      <c r="BL36" s="15">
        <v>7</v>
      </c>
      <c r="BM36" s="15">
        <v>7</v>
      </c>
      <c r="BN36" s="15">
        <v>7</v>
      </c>
      <c r="BO36" s="15">
        <v>7</v>
      </c>
      <c r="BP36" s="15">
        <v>7</v>
      </c>
      <c r="BQ36" s="32">
        <v>7</v>
      </c>
      <c r="BR36" s="15">
        <v>7</v>
      </c>
      <c r="BS36" s="15">
        <v>7</v>
      </c>
      <c r="BT36" s="15" t="s">
        <v>243</v>
      </c>
      <c r="BU36" s="15" t="s">
        <v>99</v>
      </c>
    </row>
    <row r="37" spans="1:144">
      <c r="B37" s="1">
        <v>43</v>
      </c>
      <c r="C37" t="s">
        <v>244</v>
      </c>
      <c r="D37" s="36">
        <v>39</v>
      </c>
      <c r="E37" s="36">
        <v>21</v>
      </c>
      <c r="F37" t="s">
        <v>87</v>
      </c>
      <c r="G37" t="s">
        <v>71</v>
      </c>
      <c r="H37" t="s">
        <v>101</v>
      </c>
      <c r="I37" t="s">
        <v>102</v>
      </c>
      <c r="J37" t="s">
        <v>74</v>
      </c>
      <c r="K37" t="s">
        <v>245</v>
      </c>
      <c r="L37" t="s">
        <v>125</v>
      </c>
      <c r="M37" t="s">
        <v>78</v>
      </c>
      <c r="N37" t="s">
        <v>78</v>
      </c>
      <c r="O37" t="s">
        <v>78</v>
      </c>
      <c r="P37" t="s">
        <v>78</v>
      </c>
      <c r="Q37" t="s">
        <v>78</v>
      </c>
      <c r="R37" t="s">
        <v>77</v>
      </c>
      <c r="S37" t="s">
        <v>93</v>
      </c>
      <c r="T37" t="s">
        <v>77</v>
      </c>
      <c r="U37" s="34"/>
      <c r="V37" s="15" t="s">
        <v>246</v>
      </c>
      <c r="W37" s="14">
        <v>132</v>
      </c>
      <c r="X37" s="14">
        <v>6</v>
      </c>
      <c r="Y37" s="14">
        <v>6</v>
      </c>
      <c r="Z37" s="14">
        <v>6</v>
      </c>
      <c r="AA37" s="14">
        <v>6</v>
      </c>
      <c r="AB37" s="15">
        <v>7</v>
      </c>
      <c r="AC37" s="15">
        <v>7</v>
      </c>
      <c r="AD37" s="14">
        <v>6</v>
      </c>
      <c r="AE37" s="14">
        <v>5</v>
      </c>
      <c r="AF37" s="14">
        <v>5</v>
      </c>
      <c r="AG37" s="14">
        <v>6</v>
      </c>
      <c r="AH37" s="14">
        <v>6</v>
      </c>
      <c r="AI37" s="15">
        <v>7</v>
      </c>
      <c r="AJ37" s="14">
        <v>6</v>
      </c>
      <c r="AK37" s="14">
        <v>6</v>
      </c>
      <c r="AL37" s="14">
        <v>5</v>
      </c>
      <c r="AM37" s="14">
        <v>6</v>
      </c>
      <c r="AN37" s="14">
        <v>6</v>
      </c>
      <c r="AO37" s="14">
        <v>6</v>
      </c>
      <c r="AP37" s="14">
        <v>6</v>
      </c>
      <c r="AQ37" s="35">
        <v>6</v>
      </c>
      <c r="AR37" s="14">
        <v>6</v>
      </c>
      <c r="AS37" s="14">
        <v>6</v>
      </c>
      <c r="AT37" s="15" t="s">
        <v>96</v>
      </c>
      <c r="AU37" s="15" t="s">
        <v>247</v>
      </c>
      <c r="AW37" s="14">
        <v>153</v>
      </c>
      <c r="AX37" s="15">
        <v>7</v>
      </c>
      <c r="AY37" s="15">
        <v>7</v>
      </c>
      <c r="AZ37" s="15">
        <v>7</v>
      </c>
      <c r="BA37" s="15">
        <v>7</v>
      </c>
      <c r="BB37" s="15">
        <v>7</v>
      </c>
      <c r="BC37" s="15">
        <v>7</v>
      </c>
      <c r="BD37" s="15">
        <v>7</v>
      </c>
      <c r="BE37" s="14">
        <v>6</v>
      </c>
      <c r="BF37" s="15">
        <v>7</v>
      </c>
      <c r="BG37" s="15">
        <v>7</v>
      </c>
      <c r="BH37" s="15">
        <v>7</v>
      </c>
      <c r="BI37" s="15">
        <v>7</v>
      </c>
      <c r="BJ37" s="15">
        <v>7</v>
      </c>
      <c r="BK37" s="15">
        <v>7</v>
      </c>
      <c r="BL37" s="15">
        <v>7</v>
      </c>
      <c r="BM37" s="15">
        <v>7</v>
      </c>
      <c r="BN37" s="15">
        <v>7</v>
      </c>
      <c r="BO37" s="15">
        <v>7</v>
      </c>
      <c r="BP37" s="15">
        <v>7</v>
      </c>
      <c r="BQ37" s="32">
        <v>7</v>
      </c>
      <c r="BR37" s="15">
        <v>7</v>
      </c>
      <c r="BS37" s="15">
        <v>7</v>
      </c>
      <c r="BT37" s="15" t="s">
        <v>165</v>
      </c>
      <c r="BU37" s="15" t="s">
        <v>248</v>
      </c>
    </row>
    <row r="38" s="3" customFormat="1" spans="1:144">
      <c r="B38" s="17"/>
      <c r="AQ38" s="27"/>
      <c r="BQ38" s="27"/>
    </row>
    <row r="39" customFormat="1" spans="1:144">
      <c r="A39" s="26"/>
      <c r="B39" s="18"/>
      <c r="C39" s="26"/>
      <c r="D39" s="26"/>
      <c r="E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45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45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</row>
    <row r="40" customFormat="1" spans="1:144">
      <c r="A40" s="26"/>
      <c r="B40" s="18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45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45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</row>
    <row r="41" customFormat="1" spans="1:144">
      <c r="A41" s="26"/>
      <c r="B41" s="18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45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45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</row>
    <row r="42" customFormat="1" spans="1:144">
      <c r="A42" s="26"/>
      <c r="B42" s="18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45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45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</row>
    <row r="43" customFormat="1" spans="1:144">
      <c r="A43" s="26"/>
      <c r="B43" s="18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45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45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</row>
    <row r="44" customFormat="1" spans="1:144">
      <c r="A44" s="26"/>
      <c r="B44" s="18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45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45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</row>
    <row r="45" customFormat="1" spans="1:144">
      <c r="A45" s="26"/>
      <c r="B45" s="18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45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45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</row>
    <row r="46" customFormat="1" spans="1:144">
      <c r="A46" s="26"/>
      <c r="B46" s="18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45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45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</row>
    <row r="47" customFormat="1" spans="1:144">
      <c r="A47" s="26"/>
      <c r="B47" s="18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45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45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</row>
    <row r="48" customFormat="1" spans="1:144">
      <c r="A48" s="26"/>
      <c r="B48" s="18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45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45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</row>
    <row r="49" customFormat="1" spans="1:144">
      <c r="A49" s="26"/>
      <c r="B49" s="18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45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45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</row>
    <row r="50" customFormat="1" spans="1:144">
      <c r="A50" s="26"/>
      <c r="B50" s="18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45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45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</row>
    <row r="51" customFormat="1" spans="1:144">
      <c r="A51" s="26"/>
      <c r="B51" s="18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45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45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</row>
    <row r="52" customFormat="1" spans="1:144">
      <c r="A52" s="26"/>
      <c r="B52" s="18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45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45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</row>
    <row r="53" customFormat="1" spans="1:144">
      <c r="A53" s="26"/>
      <c r="B53" s="22" t="s">
        <v>70</v>
      </c>
      <c r="C53" s="41">
        <f>COUNTIF(F2:F37,"女性")</f>
        <v>19</v>
      </c>
      <c r="F53" s="40" t="s">
        <v>71</v>
      </c>
      <c r="G53" s="42">
        <f>COUNTIF(G2:G37,"本科生")</f>
        <v>19</v>
      </c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45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45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</row>
    <row r="54" customFormat="1" spans="1:144">
      <c r="A54" s="26"/>
      <c r="B54" s="22" t="s">
        <v>87</v>
      </c>
      <c r="C54" s="42">
        <f>COUNTIF(F2:F37,"男性")</f>
        <v>17</v>
      </c>
      <c r="F54" s="40" t="s">
        <v>249</v>
      </c>
      <c r="G54" s="42">
        <f>COUNTIF(G2:G37,"硕士研究生")</f>
        <v>15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45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45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</row>
    <row r="55" customFormat="1" spans="1:144">
      <c r="A55" s="26"/>
      <c r="B55" s="18"/>
      <c r="C55" s="26"/>
      <c r="D55" s="26"/>
      <c r="E55" s="26"/>
      <c r="F55" s="40" t="s">
        <v>250</v>
      </c>
      <c r="G55" s="42">
        <f>COUNTIF(G3:G38,"博士研究生")</f>
        <v>2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45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45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</row>
    <row r="56" customFormat="1" spans="1:144">
      <c r="A56" s="26"/>
      <c r="B56" s="18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45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45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</row>
    <row r="57" customFormat="1" spans="1:144">
      <c r="A57" s="26"/>
      <c r="B57" s="18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45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45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</row>
    <row r="58" customFormat="1" spans="1:144">
      <c r="A58" s="26"/>
      <c r="B58" s="18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45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45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</row>
    <row r="59" customFormat="1" spans="1:144">
      <c r="A59" s="26"/>
      <c r="B59" s="18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45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45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</row>
    <row r="60" customFormat="1" spans="1:144">
      <c r="A60" s="26"/>
      <c r="B60" s="18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45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45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</row>
    <row r="61" customFormat="1" spans="1:144">
      <c r="A61" s="26"/>
      <c r="B61" s="18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45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45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</row>
    <row r="62" customFormat="1" spans="1:144">
      <c r="A62" s="26"/>
      <c r="B62" s="18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45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45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</row>
    <row r="63" customFormat="1" spans="1:144">
      <c r="A63" s="26"/>
      <c r="B63" s="18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45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45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</row>
    <row r="64" customFormat="1" spans="1:144">
      <c r="A64" s="26"/>
      <c r="B64" s="18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45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45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</row>
    <row r="65" customFormat="1" spans="1:144">
      <c r="A65" s="26"/>
      <c r="B65" s="18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45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45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</row>
    <row r="66" customFormat="1" spans="1:144">
      <c r="A66" s="26"/>
      <c r="B66" s="18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45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45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</row>
    <row r="67" customFormat="1" spans="1:144">
      <c r="A67" s="26"/>
      <c r="B67" s="18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45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45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</row>
    <row r="68" customFormat="1" spans="1:144">
      <c r="A68" s="26"/>
      <c r="B68" s="18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45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45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</row>
    <row r="69" customFormat="1" spans="1:144">
      <c r="A69" s="26"/>
      <c r="B69" s="18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45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45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</row>
    <row r="70" customFormat="1" spans="1:144">
      <c r="A70" s="26"/>
      <c r="B70" s="18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45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45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</row>
    <row r="71" customFormat="1" spans="1:144">
      <c r="A71" s="26"/>
      <c r="B71" s="18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45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45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</row>
    <row r="72" customFormat="1" spans="1:144">
      <c r="A72" s="26"/>
      <c r="B72" s="18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45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45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</row>
    <row r="73" customFormat="1" spans="1:144">
      <c r="A73" s="26"/>
      <c r="B73" s="18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45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45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</row>
    <row r="74" customFormat="1" spans="1:144">
      <c r="A74" s="26"/>
      <c r="B74" s="18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45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45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</row>
    <row r="75" spans="1:144">
      <c r="A75" s="3"/>
    </row>
    <row r="76" spans="1:144">
      <c r="A76" s="3"/>
      <c r="B76" s="17"/>
    </row>
    <row r="77" spans="1:144">
      <c r="A77" s="3"/>
      <c r="B77" s="17"/>
    </row>
    <row r="78" spans="1:144">
      <c r="A78" s="3"/>
      <c r="B78" s="17"/>
    </row>
    <row r="79" spans="1:144">
      <c r="A79" s="3"/>
      <c r="B79" s="17"/>
    </row>
    <row r="80" spans="1:144">
      <c r="A80" s="3"/>
      <c r="B80" s="17"/>
    </row>
    <row r="81" spans="1:2">
      <c r="A81" s="3"/>
      <c r="B81" s="17"/>
    </row>
    <row r="82" spans="1:2">
      <c r="A82" s="3"/>
      <c r="B82" s="17"/>
    </row>
    <row r="83" spans="1:2">
      <c r="A83" s="3"/>
      <c r="B83" s="17"/>
    </row>
    <row r="84" spans="1:2">
      <c r="A84" s="3"/>
      <c r="B84" s="17"/>
    </row>
    <row r="85" spans="1:2">
      <c r="A85" s="3"/>
      <c r="B85" s="17"/>
    </row>
    <row r="86" spans="1:2">
      <c r="A86" s="3"/>
      <c r="B86" s="17"/>
    </row>
    <row r="87" spans="1:2">
      <c r="A87" s="3"/>
      <c r="B87" s="17"/>
    </row>
    <row r="88" spans="1:2">
      <c r="A88" s="3"/>
      <c r="B88" s="17"/>
    </row>
    <row r="89" spans="1:2">
      <c r="A89" s="3"/>
      <c r="B89" s="17"/>
    </row>
    <row r="90" spans="1:2">
      <c r="A90" s="3"/>
      <c r="B90" s="17"/>
    </row>
    <row r="91" spans="1:2">
      <c r="A91" s="3"/>
      <c r="B91" s="17"/>
    </row>
    <row r="92" spans="1:2">
      <c r="A92" s="3"/>
      <c r="B92" s="17"/>
    </row>
    <row r="93" spans="1:2">
      <c r="A93" s="3"/>
      <c r="B93" s="17"/>
    </row>
    <row r="94" spans="1:2">
      <c r="A94" s="3"/>
      <c r="B94" s="17"/>
    </row>
    <row r="95" spans="1:2">
      <c r="A95" s="3"/>
      <c r="B95" s="17"/>
    </row>
    <row r="96" spans="1:2">
      <c r="A96" s="3"/>
      <c r="B96" s="17"/>
    </row>
    <row r="97" spans="1:69">
      <c r="A97" s="3"/>
      <c r="B97" s="17"/>
    </row>
    <row r="98" spans="1:69">
      <c r="A98" s="3"/>
      <c r="B98" s="17"/>
    </row>
    <row r="99" spans="1:69">
      <c r="A99" s="3"/>
      <c r="B99" s="17"/>
    </row>
    <row r="100" spans="1:69">
      <c r="A100" s="3"/>
      <c r="B100" s="17"/>
    </row>
    <row r="101" spans="1:69">
      <c r="A101" s="3"/>
      <c r="B101" s="17"/>
    </row>
    <row r="102" s="3" customFormat="1" spans="1:69">
      <c r="B102" s="17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 s="33"/>
      <c r="AQ102" s="27"/>
      <c r="AV102" s="33"/>
      <c r="BQ102" s="27"/>
    </row>
    <row r="103" spans="1:69">
      <c r="A103" s="3"/>
      <c r="B103" s="17"/>
    </row>
    <row r="104" spans="1:69">
      <c r="A104" s="3"/>
      <c r="B104" s="17"/>
    </row>
    <row r="105" spans="1:69">
      <c r="A105" s="3"/>
      <c r="B105" s="17"/>
    </row>
    <row r="106" spans="1:69">
      <c r="A106" s="3"/>
    </row>
    <row r="107" spans="1:69">
      <c r="A107" s="3"/>
    </row>
    <row r="108" spans="1:69">
      <c r="A108" s="3"/>
    </row>
    <row r="109" spans="1:69">
      <c r="A109" s="3"/>
    </row>
    <row r="110" spans="1:69">
      <c r="A110" s="3"/>
    </row>
    <row r="111" spans="1:69">
      <c r="A111" s="3"/>
    </row>
    <row r="112" spans="1:69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</sheetData>
  <sortState ref="B2:Z103">
    <sortCondition ref="B2"/>
  </sortState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55"/>
  <sheetViews>
    <sheetView tabSelected="1" zoomScale="80" zoomScaleNormal="80" topLeftCell="A20" workbookViewId="0">
      <selection activeCell="J54" sqref="J54"/>
    </sheetView>
  </sheetViews>
  <sheetFormatPr defaultColWidth="9.14159292035398" defaultRowHeight="12.75"/>
  <cols>
    <col min="7" max="7" width="12.5309734513274" customWidth="1"/>
    <col min="8" max="8" width="14.2743362831858" customWidth="1"/>
    <col min="11" max="11" width="39.8230088495575" customWidth="1"/>
    <col min="43" max="43" width="9.14159292035398" style="27"/>
    <col min="47" max="47" width="88.8849557522124" customWidth="1"/>
    <col min="48" max="48" width="7.46017699115044" customWidth="1"/>
    <col min="50" max="51" width="25.5752212389381" customWidth="1"/>
    <col min="69" max="69" width="9.14159292035398" style="27"/>
    <col min="73" max="73" width="37.1327433628319" customWidth="1"/>
  </cols>
  <sheetData>
    <row r="1" ht="32" customHeight="1" spans="1:73">
      <c r="A1" s="28" t="s">
        <v>0</v>
      </c>
      <c r="B1" s="8" t="s">
        <v>1</v>
      </c>
      <c r="C1" t="s">
        <v>2</v>
      </c>
      <c r="D1" t="s">
        <v>3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10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  <c r="S1" t="s">
        <v>264</v>
      </c>
      <c r="T1" t="s">
        <v>265</v>
      </c>
      <c r="U1" s="29" t="s">
        <v>20</v>
      </c>
      <c r="V1" s="15" t="s">
        <v>2</v>
      </c>
      <c r="W1" s="15" t="s">
        <v>3</v>
      </c>
      <c r="X1" s="30" t="s">
        <v>21</v>
      </c>
      <c r="Y1" s="30" t="s">
        <v>22</v>
      </c>
      <c r="Z1" s="30" t="s">
        <v>23</v>
      </c>
      <c r="AA1" s="30" t="s">
        <v>24</v>
      </c>
      <c r="AB1" s="30" t="s">
        <v>25</v>
      </c>
      <c r="AC1" s="30" t="s">
        <v>26</v>
      </c>
      <c r="AD1" s="30" t="s">
        <v>27</v>
      </c>
      <c r="AE1" s="30" t="s">
        <v>28</v>
      </c>
      <c r="AF1" s="30" t="s">
        <v>29</v>
      </c>
      <c r="AG1" s="30" t="s">
        <v>30</v>
      </c>
      <c r="AH1" s="30" t="s">
        <v>31</v>
      </c>
      <c r="AI1" s="30" t="s">
        <v>32</v>
      </c>
      <c r="AJ1" s="30" t="s">
        <v>33</v>
      </c>
      <c r="AK1" s="30" t="s">
        <v>34</v>
      </c>
      <c r="AL1" s="30" t="s">
        <v>35</v>
      </c>
      <c r="AM1" s="30" t="s">
        <v>36</v>
      </c>
      <c r="AN1" s="30" t="s">
        <v>37</v>
      </c>
      <c r="AO1" s="30" t="s">
        <v>38</v>
      </c>
      <c r="AP1" s="30" t="s">
        <v>39</v>
      </c>
      <c r="AQ1" s="31" t="s">
        <v>40</v>
      </c>
      <c r="AR1" s="30" t="s">
        <v>41</v>
      </c>
      <c r="AS1" s="30" t="s">
        <v>42</v>
      </c>
      <c r="AT1" s="15" t="s">
        <v>43</v>
      </c>
      <c r="AU1" s="15" t="s">
        <v>68</v>
      </c>
      <c r="AV1" s="28" t="s">
        <v>45</v>
      </c>
      <c r="AW1" s="15" t="s">
        <v>3</v>
      </c>
      <c r="AX1" s="15" t="s">
        <v>46</v>
      </c>
      <c r="AY1" s="15" t="s">
        <v>47</v>
      </c>
      <c r="AZ1" s="15" t="s">
        <v>48</v>
      </c>
      <c r="BA1" s="15" t="s">
        <v>49</v>
      </c>
      <c r="BB1" s="15" t="s">
        <v>50</v>
      </c>
      <c r="BC1" s="15" t="s">
        <v>51</v>
      </c>
      <c r="BD1" s="15" t="s">
        <v>52</v>
      </c>
      <c r="BE1" s="15" t="s">
        <v>53</v>
      </c>
      <c r="BF1" s="15" t="s">
        <v>54</v>
      </c>
      <c r="BG1" s="15" t="s">
        <v>55</v>
      </c>
      <c r="BH1" s="15" t="s">
        <v>56</v>
      </c>
      <c r="BI1" s="15" t="s">
        <v>57</v>
      </c>
      <c r="BJ1" s="15" t="s">
        <v>58</v>
      </c>
      <c r="BK1" s="15" t="s">
        <v>59</v>
      </c>
      <c r="BL1" s="15" t="s">
        <v>60</v>
      </c>
      <c r="BM1" s="15" t="s">
        <v>61</v>
      </c>
      <c r="BN1" s="15" t="s">
        <v>62</v>
      </c>
      <c r="BO1" s="15" t="s">
        <v>63</v>
      </c>
      <c r="BP1" s="15" t="s">
        <v>64</v>
      </c>
      <c r="BQ1" s="32" t="s">
        <v>65</v>
      </c>
      <c r="BR1" s="15" t="s">
        <v>66</v>
      </c>
      <c r="BS1" s="15" t="s">
        <v>67</v>
      </c>
      <c r="BT1" s="15" t="s">
        <v>43</v>
      </c>
      <c r="BU1" s="15" t="s">
        <v>68</v>
      </c>
    </row>
    <row r="2" spans="1:73">
      <c r="A2" s="33"/>
      <c r="B2" s="3">
        <v>17</v>
      </c>
      <c r="C2" s="15" t="s">
        <v>244</v>
      </c>
      <c r="D2" s="14">
        <v>33</v>
      </c>
      <c r="E2" s="14">
        <v>21</v>
      </c>
      <c r="F2" s="15" t="s">
        <v>70</v>
      </c>
      <c r="G2" s="15" t="s">
        <v>71</v>
      </c>
      <c r="H2" s="15" t="s">
        <v>139</v>
      </c>
      <c r="I2" s="15" t="s">
        <v>73</v>
      </c>
      <c r="J2" s="15" t="s">
        <v>74</v>
      </c>
      <c r="K2" s="15" t="s">
        <v>131</v>
      </c>
      <c r="L2" s="15" t="s">
        <v>125</v>
      </c>
      <c r="M2" s="15" t="s">
        <v>77</v>
      </c>
      <c r="N2" s="15" t="s">
        <v>77</v>
      </c>
      <c r="O2" s="15" t="s">
        <v>78</v>
      </c>
      <c r="P2" s="15" t="s">
        <v>78</v>
      </c>
      <c r="Q2" s="15" t="s">
        <v>79</v>
      </c>
      <c r="R2" s="15" t="s">
        <v>79</v>
      </c>
      <c r="S2" s="15" t="s">
        <v>80</v>
      </c>
      <c r="T2" s="15" t="s">
        <v>77</v>
      </c>
      <c r="U2" s="34"/>
      <c r="V2" s="15" t="s">
        <v>266</v>
      </c>
      <c r="W2" s="14">
        <v>130</v>
      </c>
      <c r="X2" s="14">
        <v>6</v>
      </c>
      <c r="Y2" s="14">
        <v>6</v>
      </c>
      <c r="Z2" s="14">
        <v>6</v>
      </c>
      <c r="AA2" s="14">
        <v>6</v>
      </c>
      <c r="AB2" s="14">
        <v>6</v>
      </c>
      <c r="AC2" s="14">
        <v>6</v>
      </c>
      <c r="AD2" s="14">
        <v>6</v>
      </c>
      <c r="AE2" s="14">
        <v>6</v>
      </c>
      <c r="AF2" s="15">
        <v>4</v>
      </c>
      <c r="AG2" s="14">
        <v>6</v>
      </c>
      <c r="AH2" s="14">
        <v>6</v>
      </c>
      <c r="AI2" s="14">
        <v>6</v>
      </c>
      <c r="AJ2" s="14">
        <v>6</v>
      </c>
      <c r="AK2" s="14">
        <v>6</v>
      </c>
      <c r="AL2" s="14">
        <v>6</v>
      </c>
      <c r="AM2" s="14">
        <v>6</v>
      </c>
      <c r="AN2" s="14">
        <v>6</v>
      </c>
      <c r="AO2" s="14">
        <v>6</v>
      </c>
      <c r="AP2" s="14">
        <v>6</v>
      </c>
      <c r="AQ2" s="35">
        <v>6</v>
      </c>
      <c r="AR2" s="14">
        <v>6</v>
      </c>
      <c r="AS2" s="14">
        <v>6</v>
      </c>
      <c r="AT2" s="15" t="s">
        <v>143</v>
      </c>
      <c r="AU2" s="15" t="s">
        <v>267</v>
      </c>
      <c r="AV2" s="33"/>
      <c r="AW2" s="14">
        <v>112</v>
      </c>
      <c r="AX2" s="14">
        <v>6</v>
      </c>
      <c r="AY2" s="15">
        <v>4</v>
      </c>
      <c r="AZ2" s="14">
        <v>6</v>
      </c>
      <c r="BA2" s="14">
        <v>5</v>
      </c>
      <c r="BB2" s="14">
        <v>5</v>
      </c>
      <c r="BC2" s="14">
        <v>5</v>
      </c>
      <c r="BD2" s="14">
        <v>6</v>
      </c>
      <c r="BE2" s="14">
        <v>6</v>
      </c>
      <c r="BF2" s="14">
        <v>6</v>
      </c>
      <c r="BG2" s="14">
        <v>6</v>
      </c>
      <c r="BH2" s="14">
        <v>6</v>
      </c>
      <c r="BI2" s="15">
        <v>4</v>
      </c>
      <c r="BJ2" s="14">
        <v>6</v>
      </c>
      <c r="BK2" s="15">
        <v>4</v>
      </c>
      <c r="BL2" s="15">
        <v>4</v>
      </c>
      <c r="BM2" s="15">
        <v>4</v>
      </c>
      <c r="BN2" s="14">
        <v>5</v>
      </c>
      <c r="BO2" s="15">
        <v>4</v>
      </c>
      <c r="BP2" s="14">
        <v>5</v>
      </c>
      <c r="BQ2" s="35">
        <v>5</v>
      </c>
      <c r="BR2" s="14">
        <v>5</v>
      </c>
      <c r="BS2" s="14">
        <v>5</v>
      </c>
      <c r="BT2" s="15" t="s">
        <v>268</v>
      </c>
      <c r="BU2" s="15" t="s">
        <v>269</v>
      </c>
    </row>
    <row r="3" spans="1:73">
      <c r="A3" s="33"/>
      <c r="B3">
        <v>18</v>
      </c>
      <c r="C3" t="s">
        <v>270</v>
      </c>
      <c r="D3" s="36">
        <v>30</v>
      </c>
      <c r="E3" s="36">
        <v>23</v>
      </c>
      <c r="F3" t="s">
        <v>87</v>
      </c>
      <c r="G3" t="s">
        <v>88</v>
      </c>
      <c r="H3" t="s">
        <v>89</v>
      </c>
      <c r="I3" t="s">
        <v>90</v>
      </c>
      <c r="J3" t="s">
        <v>74</v>
      </c>
      <c r="K3" s="37" t="s">
        <v>271</v>
      </c>
      <c r="L3" t="s">
        <v>92</v>
      </c>
      <c r="M3" t="s">
        <v>77</v>
      </c>
      <c r="N3" t="s">
        <v>79</v>
      </c>
      <c r="O3" t="s">
        <v>78</v>
      </c>
      <c r="P3" t="s">
        <v>77</v>
      </c>
      <c r="Q3" t="s">
        <v>93</v>
      </c>
      <c r="R3" t="s">
        <v>79</v>
      </c>
      <c r="S3" t="s">
        <v>80</v>
      </c>
      <c r="T3" t="s">
        <v>77</v>
      </c>
      <c r="U3" s="33"/>
      <c r="V3" t="s">
        <v>272</v>
      </c>
      <c r="W3">
        <v>143</v>
      </c>
      <c r="X3">
        <v>5</v>
      </c>
      <c r="Y3" t="s">
        <v>95</v>
      </c>
      <c r="Z3" t="s">
        <v>95</v>
      </c>
      <c r="AA3">
        <v>4</v>
      </c>
      <c r="AB3">
        <v>4</v>
      </c>
      <c r="AC3">
        <v>7</v>
      </c>
      <c r="AD3">
        <v>6</v>
      </c>
      <c r="AE3">
        <v>7</v>
      </c>
      <c r="AF3">
        <v>7</v>
      </c>
      <c r="AG3">
        <v>6</v>
      </c>
      <c r="AH3">
        <v>7</v>
      </c>
      <c r="AI3">
        <v>7</v>
      </c>
      <c r="AJ3">
        <v>7</v>
      </c>
      <c r="AK3">
        <v>7</v>
      </c>
      <c r="AL3">
        <v>7</v>
      </c>
      <c r="AM3">
        <v>7</v>
      </c>
      <c r="AN3">
        <v>7</v>
      </c>
      <c r="AO3">
        <v>7</v>
      </c>
      <c r="AP3">
        <v>7</v>
      </c>
      <c r="AQ3" s="27">
        <v>6</v>
      </c>
      <c r="AR3">
        <v>7</v>
      </c>
      <c r="AS3">
        <v>7</v>
      </c>
      <c r="AT3" t="s">
        <v>135</v>
      </c>
      <c r="AU3" t="s">
        <v>99</v>
      </c>
      <c r="AV3" s="33"/>
      <c r="AW3" s="15">
        <v>129</v>
      </c>
      <c r="AX3" s="15">
        <v>7</v>
      </c>
      <c r="AY3" s="15" t="s">
        <v>95</v>
      </c>
      <c r="AZ3" s="15" t="s">
        <v>95</v>
      </c>
      <c r="BA3" s="15">
        <v>7</v>
      </c>
      <c r="BB3" s="15">
        <v>7</v>
      </c>
      <c r="BC3" s="15">
        <v>7</v>
      </c>
      <c r="BD3" s="15">
        <v>7</v>
      </c>
      <c r="BE3" s="15">
        <v>4</v>
      </c>
      <c r="BF3" s="15">
        <v>7</v>
      </c>
      <c r="BG3" s="15">
        <v>7</v>
      </c>
      <c r="BH3" s="15">
        <v>7</v>
      </c>
      <c r="BI3" s="15">
        <v>7</v>
      </c>
      <c r="BJ3" s="15">
        <v>7</v>
      </c>
      <c r="BK3" s="15">
        <v>7</v>
      </c>
      <c r="BL3" s="15">
        <v>7</v>
      </c>
      <c r="BM3" s="15">
        <v>7</v>
      </c>
      <c r="BN3" s="15">
        <v>7</v>
      </c>
      <c r="BO3" s="15">
        <v>5</v>
      </c>
      <c r="BP3" s="15">
        <v>4</v>
      </c>
      <c r="BQ3" s="32">
        <v>7</v>
      </c>
      <c r="BR3" s="15">
        <v>7</v>
      </c>
      <c r="BS3" s="15">
        <v>4</v>
      </c>
      <c r="BT3" s="15" t="s">
        <v>273</v>
      </c>
      <c r="BU3" s="15" t="s">
        <v>99</v>
      </c>
    </row>
    <row r="4" spans="1:73">
      <c r="A4" s="33"/>
      <c r="B4">
        <v>37</v>
      </c>
      <c r="C4" t="s">
        <v>274</v>
      </c>
      <c r="D4" s="36">
        <v>30</v>
      </c>
      <c r="E4" s="36">
        <v>24</v>
      </c>
      <c r="F4" t="s">
        <v>87</v>
      </c>
      <c r="G4" t="s">
        <v>88</v>
      </c>
      <c r="H4" t="s">
        <v>101</v>
      </c>
      <c r="I4" t="s">
        <v>102</v>
      </c>
      <c r="J4" t="s">
        <v>74</v>
      </c>
      <c r="K4" t="s">
        <v>275</v>
      </c>
      <c r="L4" t="s">
        <v>92</v>
      </c>
      <c r="M4" t="s">
        <v>78</v>
      </c>
      <c r="N4" t="s">
        <v>78</v>
      </c>
      <c r="O4" t="s">
        <v>78</v>
      </c>
      <c r="P4" t="s">
        <v>77</v>
      </c>
      <c r="Q4" t="s">
        <v>93</v>
      </c>
      <c r="R4" t="s">
        <v>93</v>
      </c>
      <c r="S4" t="s">
        <v>80</v>
      </c>
      <c r="T4" t="s">
        <v>93</v>
      </c>
      <c r="U4" s="33"/>
      <c r="V4" t="s">
        <v>276</v>
      </c>
      <c r="W4">
        <v>114</v>
      </c>
      <c r="X4">
        <v>6</v>
      </c>
      <c r="Y4">
        <v>4</v>
      </c>
      <c r="Z4">
        <v>6</v>
      </c>
      <c r="AA4">
        <v>6</v>
      </c>
      <c r="AB4">
        <v>4</v>
      </c>
      <c r="AC4">
        <v>4</v>
      </c>
      <c r="AD4">
        <v>5</v>
      </c>
      <c r="AE4">
        <v>4</v>
      </c>
      <c r="AF4">
        <v>7</v>
      </c>
      <c r="AG4">
        <v>6</v>
      </c>
      <c r="AH4">
        <v>6</v>
      </c>
      <c r="AI4">
        <v>3</v>
      </c>
      <c r="AJ4">
        <v>5</v>
      </c>
      <c r="AK4">
        <v>5</v>
      </c>
      <c r="AL4">
        <v>6</v>
      </c>
      <c r="AM4">
        <v>5</v>
      </c>
      <c r="AN4">
        <v>6</v>
      </c>
      <c r="AO4">
        <v>7</v>
      </c>
      <c r="AP4">
        <v>6</v>
      </c>
      <c r="AQ4" s="27">
        <v>6</v>
      </c>
      <c r="AR4">
        <v>6</v>
      </c>
      <c r="AS4">
        <v>6</v>
      </c>
      <c r="AT4" t="s">
        <v>108</v>
      </c>
      <c r="AU4" t="s">
        <v>99</v>
      </c>
      <c r="AV4" s="33"/>
      <c r="AW4" s="15">
        <v>107</v>
      </c>
      <c r="AX4" s="15">
        <v>6</v>
      </c>
      <c r="AY4" s="15">
        <v>4</v>
      </c>
      <c r="AZ4" s="15">
        <v>4</v>
      </c>
      <c r="BA4" s="15">
        <v>5</v>
      </c>
      <c r="BB4" s="15">
        <v>5</v>
      </c>
      <c r="BC4" s="15">
        <v>5</v>
      </c>
      <c r="BD4" s="15">
        <v>5</v>
      </c>
      <c r="BE4" s="15">
        <v>5</v>
      </c>
      <c r="BF4" s="15">
        <v>5</v>
      </c>
      <c r="BG4" s="15">
        <v>5</v>
      </c>
      <c r="BH4" s="15">
        <v>5</v>
      </c>
      <c r="BI4" s="15">
        <v>5</v>
      </c>
      <c r="BJ4" s="15">
        <v>5</v>
      </c>
      <c r="BK4" s="15">
        <v>5</v>
      </c>
      <c r="BL4" s="15">
        <v>5</v>
      </c>
      <c r="BM4" s="15">
        <v>5</v>
      </c>
      <c r="BN4" s="15">
        <v>5</v>
      </c>
      <c r="BO4" s="15">
        <v>5</v>
      </c>
      <c r="BP4" s="15">
        <v>5</v>
      </c>
      <c r="BQ4" s="32">
        <v>5</v>
      </c>
      <c r="BR4" s="15">
        <v>4</v>
      </c>
      <c r="BS4" s="15">
        <v>4</v>
      </c>
      <c r="BT4" s="15" t="s">
        <v>96</v>
      </c>
      <c r="BU4" s="15" t="s">
        <v>99</v>
      </c>
    </row>
    <row r="5" spans="1:73">
      <c r="A5" s="33"/>
      <c r="B5">
        <v>38</v>
      </c>
      <c r="C5" t="s">
        <v>205</v>
      </c>
      <c r="D5" s="36">
        <v>33</v>
      </c>
      <c r="E5" s="36">
        <v>18</v>
      </c>
      <c r="F5" t="s">
        <v>70</v>
      </c>
      <c r="G5" t="s">
        <v>71</v>
      </c>
      <c r="H5" t="s">
        <v>139</v>
      </c>
      <c r="I5" t="s">
        <v>90</v>
      </c>
      <c r="J5" t="s">
        <v>123</v>
      </c>
      <c r="K5" t="s">
        <v>91</v>
      </c>
      <c r="L5" t="s">
        <v>125</v>
      </c>
      <c r="M5" t="s">
        <v>78</v>
      </c>
      <c r="N5" t="s">
        <v>77</v>
      </c>
      <c r="O5" t="s">
        <v>78</v>
      </c>
      <c r="P5" t="s">
        <v>78</v>
      </c>
      <c r="Q5" t="s">
        <v>93</v>
      </c>
      <c r="R5" t="s">
        <v>77</v>
      </c>
      <c r="S5" t="s">
        <v>80</v>
      </c>
      <c r="T5" t="s">
        <v>77</v>
      </c>
      <c r="U5" s="34"/>
      <c r="V5" s="15" t="s">
        <v>277</v>
      </c>
      <c r="W5" s="14">
        <v>73</v>
      </c>
      <c r="X5" s="15">
        <v>1</v>
      </c>
      <c r="Y5" s="15">
        <v>4</v>
      </c>
      <c r="Z5" s="14">
        <v>5</v>
      </c>
      <c r="AA5" s="15">
        <v>1</v>
      </c>
      <c r="AB5" s="15">
        <v>7</v>
      </c>
      <c r="AC5" s="15">
        <v>1</v>
      </c>
      <c r="AD5" s="15">
        <v>1</v>
      </c>
      <c r="AE5" s="15">
        <v>4</v>
      </c>
      <c r="AF5" s="15">
        <v>1</v>
      </c>
      <c r="AG5" s="15">
        <v>1</v>
      </c>
      <c r="AH5" s="15">
        <v>4</v>
      </c>
      <c r="AI5" s="15">
        <v>4</v>
      </c>
      <c r="AJ5" s="15">
        <v>4</v>
      </c>
      <c r="AK5" s="15">
        <v>1</v>
      </c>
      <c r="AL5" s="15">
        <v>4</v>
      </c>
      <c r="AM5" s="15">
        <v>7</v>
      </c>
      <c r="AN5" s="14">
        <v>5</v>
      </c>
      <c r="AO5" s="14">
        <v>5</v>
      </c>
      <c r="AP5" s="15">
        <v>7</v>
      </c>
      <c r="AQ5" s="35">
        <v>3</v>
      </c>
      <c r="AR5" s="14">
        <v>2</v>
      </c>
      <c r="AS5" s="15">
        <v>1</v>
      </c>
      <c r="AT5" s="15" t="s">
        <v>143</v>
      </c>
      <c r="AU5" s="15" t="s">
        <v>278</v>
      </c>
      <c r="AV5" s="33"/>
      <c r="AW5" s="14">
        <v>82</v>
      </c>
      <c r="AX5" s="15">
        <v>4</v>
      </c>
      <c r="AY5" s="14">
        <v>3</v>
      </c>
      <c r="AZ5" s="15" t="s">
        <v>155</v>
      </c>
      <c r="BA5" s="14">
        <v>5</v>
      </c>
      <c r="BB5" s="14">
        <v>3</v>
      </c>
      <c r="BC5" s="15">
        <v>4</v>
      </c>
      <c r="BD5" s="14">
        <v>6</v>
      </c>
      <c r="BE5" s="14">
        <v>3</v>
      </c>
      <c r="BF5" s="15">
        <v>4</v>
      </c>
      <c r="BG5" s="15">
        <v>4</v>
      </c>
      <c r="BH5" s="14">
        <v>6</v>
      </c>
      <c r="BI5" s="15">
        <v>1</v>
      </c>
      <c r="BJ5" s="15">
        <v>4</v>
      </c>
      <c r="BK5" s="14">
        <v>2</v>
      </c>
      <c r="BL5" s="15">
        <v>4</v>
      </c>
      <c r="BM5" s="14">
        <v>5</v>
      </c>
      <c r="BN5" s="14">
        <v>3</v>
      </c>
      <c r="BO5" s="14">
        <v>5</v>
      </c>
      <c r="BP5" s="14">
        <v>6</v>
      </c>
      <c r="BQ5" s="35">
        <v>3</v>
      </c>
      <c r="BR5" s="14">
        <v>3</v>
      </c>
      <c r="BS5" s="15">
        <v>4</v>
      </c>
      <c r="BT5" s="15" t="s">
        <v>215</v>
      </c>
      <c r="BU5" s="15" t="s">
        <v>279</v>
      </c>
    </row>
    <row r="6" spans="1:73">
      <c r="A6" s="33"/>
      <c r="B6">
        <v>39</v>
      </c>
      <c r="C6" t="s">
        <v>280</v>
      </c>
      <c r="D6" s="36">
        <v>29</v>
      </c>
      <c r="E6" s="36">
        <v>27</v>
      </c>
      <c r="F6" t="s">
        <v>87</v>
      </c>
      <c r="G6" t="s">
        <v>152</v>
      </c>
      <c r="H6" t="s">
        <v>101</v>
      </c>
      <c r="I6" t="s">
        <v>237</v>
      </c>
      <c r="J6" t="s">
        <v>123</v>
      </c>
      <c r="K6" t="s">
        <v>245</v>
      </c>
      <c r="L6" t="s">
        <v>92</v>
      </c>
      <c r="M6" t="s">
        <v>93</v>
      </c>
      <c r="N6" t="s">
        <v>79</v>
      </c>
      <c r="O6" t="s">
        <v>77</v>
      </c>
      <c r="P6" t="s">
        <v>78</v>
      </c>
      <c r="Q6" t="s">
        <v>77</v>
      </c>
      <c r="R6" t="s">
        <v>77</v>
      </c>
      <c r="S6" t="s">
        <v>80</v>
      </c>
      <c r="T6" t="s">
        <v>79</v>
      </c>
      <c r="U6" s="33"/>
      <c r="V6" t="s">
        <v>272</v>
      </c>
      <c r="W6">
        <v>136</v>
      </c>
      <c r="X6">
        <v>3</v>
      </c>
      <c r="Y6">
        <v>2</v>
      </c>
      <c r="Z6">
        <v>2</v>
      </c>
      <c r="AA6">
        <v>3</v>
      </c>
      <c r="AB6">
        <v>2</v>
      </c>
      <c r="AC6">
        <v>3</v>
      </c>
      <c r="AD6">
        <v>3</v>
      </c>
      <c r="AE6">
        <v>2</v>
      </c>
      <c r="AF6">
        <v>3</v>
      </c>
      <c r="AG6">
        <v>2</v>
      </c>
      <c r="AH6">
        <v>4</v>
      </c>
      <c r="AI6">
        <v>4</v>
      </c>
      <c r="AJ6">
        <v>5</v>
      </c>
      <c r="AK6">
        <v>3</v>
      </c>
      <c r="AL6">
        <v>3</v>
      </c>
      <c r="AM6">
        <v>4</v>
      </c>
      <c r="AN6">
        <v>4</v>
      </c>
      <c r="AO6">
        <v>5</v>
      </c>
      <c r="AP6">
        <v>5</v>
      </c>
      <c r="AQ6" s="27">
        <v>3</v>
      </c>
      <c r="AR6">
        <v>3</v>
      </c>
      <c r="AS6">
        <v>1</v>
      </c>
      <c r="AT6" t="s">
        <v>281</v>
      </c>
      <c r="AU6" t="s">
        <v>282</v>
      </c>
      <c r="AV6" s="33"/>
      <c r="AW6" s="15">
        <v>122</v>
      </c>
      <c r="AX6" s="15">
        <v>5</v>
      </c>
      <c r="AY6" s="15">
        <v>5</v>
      </c>
      <c r="AZ6" s="15">
        <v>6</v>
      </c>
      <c r="BA6" s="15">
        <v>7</v>
      </c>
      <c r="BB6" s="15">
        <v>6</v>
      </c>
      <c r="BC6" s="15">
        <v>6</v>
      </c>
      <c r="BD6" s="15">
        <v>6</v>
      </c>
      <c r="BE6" s="15">
        <v>5</v>
      </c>
      <c r="BF6" s="15">
        <v>5</v>
      </c>
      <c r="BG6" s="15">
        <v>6</v>
      </c>
      <c r="BH6" s="15">
        <v>6</v>
      </c>
      <c r="BI6" s="15">
        <v>5</v>
      </c>
      <c r="BJ6" s="15">
        <v>5</v>
      </c>
      <c r="BK6" s="15">
        <v>4</v>
      </c>
      <c r="BL6" s="15">
        <v>7</v>
      </c>
      <c r="BM6" s="15">
        <v>5</v>
      </c>
      <c r="BN6" s="15">
        <v>6</v>
      </c>
      <c r="BO6" s="15">
        <v>6</v>
      </c>
      <c r="BP6" s="15">
        <v>5</v>
      </c>
      <c r="BQ6" s="32">
        <v>5</v>
      </c>
      <c r="BR6" s="15">
        <v>6</v>
      </c>
      <c r="BS6" s="15">
        <v>5</v>
      </c>
      <c r="BT6" s="15" t="s">
        <v>283</v>
      </c>
      <c r="BU6" s="15" t="s">
        <v>99</v>
      </c>
    </row>
    <row r="7" spans="1:73">
      <c r="A7" s="33"/>
      <c r="B7" s="3">
        <v>40</v>
      </c>
      <c r="C7" s="15" t="s">
        <v>187</v>
      </c>
      <c r="D7" s="14">
        <v>33</v>
      </c>
      <c r="E7" s="14">
        <v>22</v>
      </c>
      <c r="F7" s="15" t="s">
        <v>70</v>
      </c>
      <c r="G7" s="15" t="s">
        <v>88</v>
      </c>
      <c r="H7" s="15" t="s">
        <v>101</v>
      </c>
      <c r="I7" s="15" t="s">
        <v>90</v>
      </c>
      <c r="J7" s="15" t="s">
        <v>74</v>
      </c>
      <c r="K7" s="15" t="s">
        <v>91</v>
      </c>
      <c r="L7" s="15" t="s">
        <v>125</v>
      </c>
      <c r="M7" s="15" t="s">
        <v>77</v>
      </c>
      <c r="N7" s="15" t="s">
        <v>78</v>
      </c>
      <c r="O7" s="15" t="s">
        <v>78</v>
      </c>
      <c r="P7" s="15" t="s">
        <v>78</v>
      </c>
      <c r="Q7" s="15" t="s">
        <v>79</v>
      </c>
      <c r="R7" s="15" t="s">
        <v>79</v>
      </c>
      <c r="S7" s="15" t="s">
        <v>80</v>
      </c>
      <c r="T7" s="15" t="s">
        <v>79</v>
      </c>
      <c r="U7" s="34"/>
      <c r="V7" s="15" t="s">
        <v>284</v>
      </c>
      <c r="W7" s="14">
        <v>132</v>
      </c>
      <c r="X7" s="15">
        <v>7</v>
      </c>
      <c r="Y7" s="15" t="s">
        <v>155</v>
      </c>
      <c r="Z7" s="15" t="s">
        <v>155</v>
      </c>
      <c r="AA7" s="15">
        <v>7</v>
      </c>
      <c r="AB7" s="15">
        <v>7</v>
      </c>
      <c r="AC7" s="15">
        <v>7</v>
      </c>
      <c r="AD7" s="15">
        <v>7</v>
      </c>
      <c r="AE7" s="15">
        <v>7</v>
      </c>
      <c r="AF7" s="15">
        <v>7</v>
      </c>
      <c r="AG7" s="15">
        <v>7</v>
      </c>
      <c r="AH7" s="15">
        <v>7</v>
      </c>
      <c r="AI7" s="15">
        <v>7</v>
      </c>
      <c r="AJ7" s="15">
        <v>7</v>
      </c>
      <c r="AK7" s="15">
        <v>7</v>
      </c>
      <c r="AL7" s="15">
        <v>7</v>
      </c>
      <c r="AM7" s="15">
        <v>7</v>
      </c>
      <c r="AN7" s="15">
        <v>7</v>
      </c>
      <c r="AO7" s="15">
        <v>7</v>
      </c>
      <c r="AP7" s="14">
        <v>6</v>
      </c>
      <c r="AQ7" s="32">
        <v>7</v>
      </c>
      <c r="AR7" s="15">
        <v>7</v>
      </c>
      <c r="AS7" s="15">
        <v>7</v>
      </c>
      <c r="AT7" s="15" t="s">
        <v>96</v>
      </c>
      <c r="AU7" s="15" t="s">
        <v>285</v>
      </c>
      <c r="AV7" s="33"/>
      <c r="AW7" s="14">
        <v>126</v>
      </c>
      <c r="AX7" s="15">
        <v>6</v>
      </c>
      <c r="AY7" s="15">
        <v>6</v>
      </c>
      <c r="AZ7" s="14">
        <v>6</v>
      </c>
      <c r="BA7" s="14">
        <v>6</v>
      </c>
      <c r="BB7" s="14">
        <v>6</v>
      </c>
      <c r="BC7" s="14">
        <v>6</v>
      </c>
      <c r="BD7" s="15">
        <v>7</v>
      </c>
      <c r="BE7" s="14">
        <v>6</v>
      </c>
      <c r="BF7" s="14">
        <v>6</v>
      </c>
      <c r="BG7" s="15">
        <v>7</v>
      </c>
      <c r="BH7" s="14">
        <v>6</v>
      </c>
      <c r="BI7" s="14">
        <v>5</v>
      </c>
      <c r="BJ7" s="15">
        <v>7</v>
      </c>
      <c r="BK7" s="14">
        <v>6</v>
      </c>
      <c r="BL7" s="15">
        <v>7</v>
      </c>
      <c r="BM7" s="14">
        <v>6</v>
      </c>
      <c r="BN7" s="15">
        <v>7</v>
      </c>
      <c r="BO7" s="15">
        <v>7</v>
      </c>
      <c r="BP7" s="15">
        <v>7</v>
      </c>
      <c r="BQ7" s="35">
        <v>6</v>
      </c>
      <c r="BR7" s="14">
        <v>6</v>
      </c>
      <c r="BS7" s="14">
        <v>6</v>
      </c>
      <c r="BT7" s="15" t="s">
        <v>174</v>
      </c>
      <c r="BU7" s="15" t="s">
        <v>286</v>
      </c>
    </row>
    <row r="8" spans="1:73">
      <c r="A8" s="33"/>
      <c r="B8">
        <v>41</v>
      </c>
      <c r="C8" t="s">
        <v>270</v>
      </c>
      <c r="D8" s="36">
        <v>34</v>
      </c>
      <c r="E8" s="36">
        <v>25</v>
      </c>
      <c r="F8" t="s">
        <v>87</v>
      </c>
      <c r="G8" t="s">
        <v>152</v>
      </c>
      <c r="H8" t="s">
        <v>101</v>
      </c>
      <c r="I8" t="s">
        <v>90</v>
      </c>
      <c r="J8" t="s">
        <v>103</v>
      </c>
      <c r="K8" t="s">
        <v>116</v>
      </c>
      <c r="L8" t="s">
        <v>125</v>
      </c>
      <c r="M8" t="s">
        <v>78</v>
      </c>
      <c r="N8" t="s">
        <v>77</v>
      </c>
      <c r="O8" t="s">
        <v>78</v>
      </c>
      <c r="P8" t="s">
        <v>77</v>
      </c>
      <c r="Q8" t="s">
        <v>79</v>
      </c>
      <c r="R8" t="s">
        <v>79</v>
      </c>
      <c r="S8" t="s">
        <v>80</v>
      </c>
      <c r="T8" t="s">
        <v>77</v>
      </c>
      <c r="U8" s="33"/>
      <c r="V8" t="s">
        <v>287</v>
      </c>
      <c r="W8">
        <v>114</v>
      </c>
      <c r="X8">
        <v>2</v>
      </c>
      <c r="Y8">
        <v>3</v>
      </c>
      <c r="Z8">
        <v>3</v>
      </c>
      <c r="AA8">
        <v>5</v>
      </c>
      <c r="AB8">
        <v>4</v>
      </c>
      <c r="AC8">
        <v>5</v>
      </c>
      <c r="AD8">
        <v>5</v>
      </c>
      <c r="AE8">
        <v>3</v>
      </c>
      <c r="AF8">
        <v>4</v>
      </c>
      <c r="AG8">
        <v>3</v>
      </c>
      <c r="AH8">
        <v>5</v>
      </c>
      <c r="AI8">
        <v>6</v>
      </c>
      <c r="AJ8">
        <v>5</v>
      </c>
      <c r="AK8">
        <v>4</v>
      </c>
      <c r="AL8">
        <v>6</v>
      </c>
      <c r="AM8">
        <v>4</v>
      </c>
      <c r="AN8">
        <v>3</v>
      </c>
      <c r="AO8">
        <v>6</v>
      </c>
      <c r="AP8">
        <v>5</v>
      </c>
      <c r="AQ8" s="27">
        <v>5</v>
      </c>
      <c r="AR8">
        <v>5</v>
      </c>
      <c r="AS8">
        <v>5</v>
      </c>
      <c r="AT8" t="s">
        <v>84</v>
      </c>
      <c r="AU8" t="s">
        <v>99</v>
      </c>
      <c r="AV8" s="33"/>
      <c r="AW8" s="15">
        <v>129</v>
      </c>
      <c r="AX8" s="15">
        <v>2</v>
      </c>
      <c r="AY8" s="15">
        <v>5</v>
      </c>
      <c r="AZ8" s="15">
        <v>7</v>
      </c>
      <c r="BA8" s="15">
        <v>6</v>
      </c>
      <c r="BB8" s="15">
        <v>7</v>
      </c>
      <c r="BC8" s="15">
        <v>7</v>
      </c>
      <c r="BD8" s="15">
        <v>6</v>
      </c>
      <c r="BE8" s="15">
        <v>6</v>
      </c>
      <c r="BF8" s="15">
        <v>7</v>
      </c>
      <c r="BG8" s="15">
        <v>7</v>
      </c>
      <c r="BH8" s="15">
        <v>6</v>
      </c>
      <c r="BI8" s="15">
        <v>7</v>
      </c>
      <c r="BJ8" s="15">
        <v>6</v>
      </c>
      <c r="BK8" s="15">
        <v>6</v>
      </c>
      <c r="BL8" s="15">
        <v>7</v>
      </c>
      <c r="BM8" s="15">
        <v>4</v>
      </c>
      <c r="BN8" s="15">
        <v>6</v>
      </c>
      <c r="BO8" s="15">
        <v>4</v>
      </c>
      <c r="BP8" s="15">
        <v>4</v>
      </c>
      <c r="BQ8" s="32">
        <v>6</v>
      </c>
      <c r="BR8" s="15">
        <v>7</v>
      </c>
      <c r="BS8" s="15">
        <v>6</v>
      </c>
      <c r="BT8" s="15" t="s">
        <v>96</v>
      </c>
      <c r="BU8" s="15" t="s">
        <v>288</v>
      </c>
    </row>
    <row r="9" spans="1:73">
      <c r="A9" s="33"/>
      <c r="B9">
        <v>44</v>
      </c>
      <c r="C9" t="s">
        <v>289</v>
      </c>
      <c r="D9" s="36">
        <v>34</v>
      </c>
      <c r="E9" s="36">
        <v>23</v>
      </c>
      <c r="F9" t="s">
        <v>87</v>
      </c>
      <c r="G9" t="s">
        <v>88</v>
      </c>
      <c r="H9" t="s">
        <v>101</v>
      </c>
      <c r="I9" t="s">
        <v>102</v>
      </c>
      <c r="J9" t="s">
        <v>74</v>
      </c>
      <c r="K9" t="s">
        <v>131</v>
      </c>
      <c r="L9" t="s">
        <v>92</v>
      </c>
      <c r="M9" t="s">
        <v>78</v>
      </c>
      <c r="N9" t="s">
        <v>77</v>
      </c>
      <c r="O9" t="s">
        <v>77</v>
      </c>
      <c r="P9" t="s">
        <v>79</v>
      </c>
      <c r="Q9" t="s">
        <v>77</v>
      </c>
      <c r="R9" t="s">
        <v>79</v>
      </c>
      <c r="S9" t="s">
        <v>93</v>
      </c>
      <c r="T9" t="s">
        <v>78</v>
      </c>
      <c r="U9" s="33"/>
      <c r="V9" t="s">
        <v>290</v>
      </c>
      <c r="W9">
        <v>96</v>
      </c>
      <c r="X9">
        <v>6</v>
      </c>
      <c r="Y9">
        <v>5</v>
      </c>
      <c r="Z9">
        <v>7</v>
      </c>
      <c r="AA9">
        <v>7</v>
      </c>
      <c r="AB9">
        <v>6</v>
      </c>
      <c r="AC9">
        <v>6</v>
      </c>
      <c r="AD9">
        <v>6</v>
      </c>
      <c r="AE9">
        <v>6</v>
      </c>
      <c r="AF9">
        <v>6</v>
      </c>
      <c r="AG9">
        <v>6</v>
      </c>
      <c r="AH9">
        <v>6</v>
      </c>
      <c r="AI9">
        <v>7</v>
      </c>
      <c r="AJ9">
        <v>6</v>
      </c>
      <c r="AK9">
        <v>5</v>
      </c>
      <c r="AL9">
        <v>6</v>
      </c>
      <c r="AM9">
        <v>7</v>
      </c>
      <c r="AN9">
        <v>6</v>
      </c>
      <c r="AO9">
        <v>7</v>
      </c>
      <c r="AP9">
        <v>7</v>
      </c>
      <c r="AQ9" s="27">
        <v>6</v>
      </c>
      <c r="AR9">
        <v>6</v>
      </c>
      <c r="AS9">
        <v>6</v>
      </c>
      <c r="AT9" t="s">
        <v>281</v>
      </c>
      <c r="AU9" t="s">
        <v>99</v>
      </c>
      <c r="AV9" s="33"/>
      <c r="AW9" s="15">
        <v>114</v>
      </c>
      <c r="AX9" s="15">
        <v>4</v>
      </c>
      <c r="AY9" s="15">
        <v>5</v>
      </c>
      <c r="AZ9" s="15">
        <v>5</v>
      </c>
      <c r="BA9" s="15">
        <v>6</v>
      </c>
      <c r="BB9" s="15">
        <v>6</v>
      </c>
      <c r="BC9" s="15">
        <v>5</v>
      </c>
      <c r="BD9" s="15">
        <v>5</v>
      </c>
      <c r="BE9" s="15">
        <v>4</v>
      </c>
      <c r="BF9" s="15">
        <v>3</v>
      </c>
      <c r="BG9" s="15">
        <v>5</v>
      </c>
      <c r="BH9" s="15">
        <v>6</v>
      </c>
      <c r="BI9" s="15">
        <v>7</v>
      </c>
      <c r="BJ9" s="15">
        <v>6</v>
      </c>
      <c r="BK9" s="15">
        <v>6</v>
      </c>
      <c r="BL9" s="15">
        <v>7</v>
      </c>
      <c r="BM9" s="15">
        <v>3</v>
      </c>
      <c r="BN9" s="15">
        <v>5</v>
      </c>
      <c r="BO9" s="15">
        <v>6</v>
      </c>
      <c r="BP9" s="15">
        <v>3</v>
      </c>
      <c r="BQ9" s="32">
        <v>5</v>
      </c>
      <c r="BR9" s="15">
        <v>6</v>
      </c>
      <c r="BS9" s="15">
        <v>6</v>
      </c>
      <c r="BT9" s="15" t="s">
        <v>120</v>
      </c>
      <c r="BU9" s="15" t="s">
        <v>99</v>
      </c>
    </row>
    <row r="10" spans="1:73">
      <c r="A10" s="33"/>
      <c r="B10">
        <v>45</v>
      </c>
      <c r="C10" t="s">
        <v>291</v>
      </c>
      <c r="D10" s="36">
        <v>28</v>
      </c>
      <c r="E10" s="36">
        <v>20</v>
      </c>
      <c r="F10" t="s">
        <v>70</v>
      </c>
      <c r="G10" t="s">
        <v>71</v>
      </c>
      <c r="H10" t="s">
        <v>89</v>
      </c>
      <c r="I10" t="s">
        <v>102</v>
      </c>
      <c r="J10" t="s">
        <v>103</v>
      </c>
      <c r="K10" t="s">
        <v>116</v>
      </c>
      <c r="L10" t="s">
        <v>125</v>
      </c>
      <c r="M10" t="s">
        <v>79</v>
      </c>
      <c r="N10" t="s">
        <v>79</v>
      </c>
      <c r="O10" t="s">
        <v>78</v>
      </c>
      <c r="P10" t="s">
        <v>79</v>
      </c>
      <c r="Q10" t="s">
        <v>79</v>
      </c>
      <c r="R10" t="s">
        <v>93</v>
      </c>
      <c r="S10" t="s">
        <v>80</v>
      </c>
      <c r="T10" t="s">
        <v>79</v>
      </c>
      <c r="U10" s="34"/>
      <c r="V10" s="15" t="s">
        <v>187</v>
      </c>
      <c r="W10" s="14">
        <v>81</v>
      </c>
      <c r="X10" s="15">
        <v>4</v>
      </c>
      <c r="Y10" s="15" t="s">
        <v>155</v>
      </c>
      <c r="Z10" s="15" t="s">
        <v>155</v>
      </c>
      <c r="AA10" s="14">
        <v>5</v>
      </c>
      <c r="AB10" s="14">
        <v>5</v>
      </c>
      <c r="AC10" s="14">
        <v>5</v>
      </c>
      <c r="AD10" s="14">
        <v>5</v>
      </c>
      <c r="AE10" s="15">
        <v>4</v>
      </c>
      <c r="AF10" s="15">
        <v>4</v>
      </c>
      <c r="AG10" s="15">
        <v>4</v>
      </c>
      <c r="AH10" s="15">
        <v>4</v>
      </c>
      <c r="AI10" s="14">
        <v>3</v>
      </c>
      <c r="AJ10" s="14">
        <v>5</v>
      </c>
      <c r="AK10" s="14">
        <v>5</v>
      </c>
      <c r="AL10" s="15">
        <v>4</v>
      </c>
      <c r="AM10" s="14">
        <v>3</v>
      </c>
      <c r="AN10" s="15">
        <v>4</v>
      </c>
      <c r="AO10" s="15">
        <v>4</v>
      </c>
      <c r="AP10" s="14">
        <v>3</v>
      </c>
      <c r="AQ10" s="32">
        <v>4</v>
      </c>
      <c r="AR10" s="14">
        <v>3</v>
      </c>
      <c r="AS10" s="14">
        <v>3</v>
      </c>
      <c r="AT10" s="15" t="s">
        <v>118</v>
      </c>
      <c r="AU10" s="15" t="s">
        <v>292</v>
      </c>
      <c r="AV10" s="33"/>
      <c r="AW10" s="14">
        <v>65</v>
      </c>
      <c r="AX10" s="14">
        <v>3</v>
      </c>
      <c r="AY10" s="15">
        <v>4</v>
      </c>
      <c r="AZ10" s="15">
        <v>4</v>
      </c>
      <c r="BA10" s="15">
        <v>4</v>
      </c>
      <c r="BB10" s="14">
        <v>3</v>
      </c>
      <c r="BC10" s="14">
        <v>3</v>
      </c>
      <c r="BD10" s="14">
        <v>2</v>
      </c>
      <c r="BE10" s="14">
        <v>3</v>
      </c>
      <c r="BF10" s="14">
        <v>2</v>
      </c>
      <c r="BG10" s="14">
        <v>2</v>
      </c>
      <c r="BH10" s="15">
        <v>4</v>
      </c>
      <c r="BI10" s="14">
        <v>3</v>
      </c>
      <c r="BJ10" s="14">
        <v>3</v>
      </c>
      <c r="BK10" s="14">
        <v>3</v>
      </c>
      <c r="BL10" s="15">
        <v>4</v>
      </c>
      <c r="BM10" s="15">
        <v>4</v>
      </c>
      <c r="BN10" s="14">
        <v>2</v>
      </c>
      <c r="BO10" s="14">
        <v>2</v>
      </c>
      <c r="BP10" s="14">
        <v>3</v>
      </c>
      <c r="BQ10" s="35">
        <v>3</v>
      </c>
      <c r="BR10" s="14">
        <v>2</v>
      </c>
      <c r="BS10" s="14">
        <v>2</v>
      </c>
      <c r="BT10" s="15" t="s">
        <v>293</v>
      </c>
      <c r="BU10" s="15" t="s">
        <v>294</v>
      </c>
    </row>
    <row r="11" spans="1:73">
      <c r="A11" s="33"/>
      <c r="B11">
        <v>46</v>
      </c>
      <c r="C11" t="s">
        <v>227</v>
      </c>
      <c r="D11" s="36">
        <v>31</v>
      </c>
      <c r="E11" s="36">
        <v>20</v>
      </c>
      <c r="F11" t="s">
        <v>87</v>
      </c>
      <c r="G11" t="s">
        <v>71</v>
      </c>
      <c r="H11" t="s">
        <v>89</v>
      </c>
      <c r="I11" t="s">
        <v>90</v>
      </c>
      <c r="J11" t="s">
        <v>74</v>
      </c>
      <c r="K11" s="37" t="s">
        <v>295</v>
      </c>
      <c r="L11" t="s">
        <v>125</v>
      </c>
      <c r="M11" t="s">
        <v>77</v>
      </c>
      <c r="N11" t="s">
        <v>78</v>
      </c>
      <c r="O11" t="s">
        <v>78</v>
      </c>
      <c r="P11" t="s">
        <v>77</v>
      </c>
      <c r="Q11" t="s">
        <v>93</v>
      </c>
      <c r="R11" t="s">
        <v>79</v>
      </c>
      <c r="S11" t="s">
        <v>93</v>
      </c>
      <c r="T11" t="s">
        <v>93</v>
      </c>
      <c r="U11" s="34"/>
      <c r="V11" s="15" t="s">
        <v>296</v>
      </c>
      <c r="W11" s="14">
        <v>100</v>
      </c>
      <c r="X11" s="14">
        <v>3</v>
      </c>
      <c r="Y11" s="14">
        <v>6</v>
      </c>
      <c r="Z11" s="15">
        <v>7</v>
      </c>
      <c r="AA11" s="15">
        <v>4</v>
      </c>
      <c r="AB11" s="14">
        <v>3</v>
      </c>
      <c r="AC11" s="14">
        <v>6</v>
      </c>
      <c r="AD11" s="14">
        <v>5</v>
      </c>
      <c r="AE11" s="15">
        <v>4</v>
      </c>
      <c r="AF11" s="15">
        <v>4</v>
      </c>
      <c r="AG11" s="14">
        <v>3</v>
      </c>
      <c r="AH11" s="14">
        <v>5</v>
      </c>
      <c r="AI11" s="14">
        <v>5</v>
      </c>
      <c r="AJ11" s="14">
        <v>3</v>
      </c>
      <c r="AK11" s="15">
        <v>4</v>
      </c>
      <c r="AL11" s="14">
        <v>6</v>
      </c>
      <c r="AM11" s="14">
        <v>3</v>
      </c>
      <c r="AN11" s="14">
        <v>6</v>
      </c>
      <c r="AO11" s="14">
        <v>5</v>
      </c>
      <c r="AP11" s="15">
        <v>4</v>
      </c>
      <c r="AQ11" s="35">
        <v>5</v>
      </c>
      <c r="AR11" s="14">
        <v>5</v>
      </c>
      <c r="AS11" s="15">
        <v>4</v>
      </c>
      <c r="AT11" s="15" t="s">
        <v>118</v>
      </c>
      <c r="AU11" s="15" t="s">
        <v>99</v>
      </c>
      <c r="AV11" s="33"/>
      <c r="AW11" s="14">
        <v>108</v>
      </c>
      <c r="AX11" s="14">
        <v>5</v>
      </c>
      <c r="AY11" s="14">
        <v>6</v>
      </c>
      <c r="AZ11" s="14">
        <v>6</v>
      </c>
      <c r="BA11" s="14">
        <v>6</v>
      </c>
      <c r="BB11" s="15">
        <v>7</v>
      </c>
      <c r="BC11" s="14">
        <v>5</v>
      </c>
      <c r="BD11" s="14">
        <v>5</v>
      </c>
      <c r="BE11" s="15">
        <v>4</v>
      </c>
      <c r="BF11" s="14">
        <v>5</v>
      </c>
      <c r="BG11" s="14">
        <v>2</v>
      </c>
      <c r="BH11" s="14">
        <v>5</v>
      </c>
      <c r="BI11" s="14">
        <v>6</v>
      </c>
      <c r="BJ11" s="15">
        <v>4</v>
      </c>
      <c r="BK11" s="15">
        <v>4</v>
      </c>
      <c r="BL11" s="14">
        <v>5</v>
      </c>
      <c r="BM11" s="14">
        <v>5</v>
      </c>
      <c r="BN11" s="15">
        <v>4</v>
      </c>
      <c r="BO11" s="14">
        <v>5</v>
      </c>
      <c r="BP11" s="14">
        <v>5</v>
      </c>
      <c r="BQ11" s="35">
        <v>5</v>
      </c>
      <c r="BR11" s="14">
        <v>5</v>
      </c>
      <c r="BS11" s="15">
        <v>4</v>
      </c>
      <c r="BT11" s="15" t="s">
        <v>84</v>
      </c>
      <c r="BU11" s="15" t="s">
        <v>99</v>
      </c>
    </row>
    <row r="12" ht="14" customHeight="1" spans="1:73">
      <c r="A12" s="33"/>
      <c r="B12">
        <v>47</v>
      </c>
      <c r="C12" t="s">
        <v>132</v>
      </c>
      <c r="D12" s="36">
        <v>30</v>
      </c>
      <c r="E12" s="36">
        <v>24</v>
      </c>
      <c r="F12" t="s">
        <v>70</v>
      </c>
      <c r="G12" t="s">
        <v>88</v>
      </c>
      <c r="H12" t="s">
        <v>101</v>
      </c>
      <c r="I12" t="s">
        <v>102</v>
      </c>
      <c r="J12" t="s">
        <v>123</v>
      </c>
      <c r="K12" t="s">
        <v>91</v>
      </c>
      <c r="L12" t="s">
        <v>92</v>
      </c>
      <c r="M12" t="s">
        <v>93</v>
      </c>
      <c r="N12" t="s">
        <v>78</v>
      </c>
      <c r="O12" t="s">
        <v>78</v>
      </c>
      <c r="P12" t="s">
        <v>78</v>
      </c>
      <c r="Q12" t="s">
        <v>79</v>
      </c>
      <c r="R12" t="s">
        <v>79</v>
      </c>
      <c r="S12" t="s">
        <v>93</v>
      </c>
      <c r="T12" t="s">
        <v>93</v>
      </c>
      <c r="U12" s="34"/>
      <c r="V12" s="15" t="s">
        <v>297</v>
      </c>
      <c r="W12" s="14">
        <v>129</v>
      </c>
      <c r="X12" s="14">
        <v>5</v>
      </c>
      <c r="Y12" s="15">
        <v>7</v>
      </c>
      <c r="Z12" s="15">
        <v>4</v>
      </c>
      <c r="AA12" s="14">
        <v>6</v>
      </c>
      <c r="AB12" s="14">
        <v>6</v>
      </c>
      <c r="AC12" s="15">
        <v>7</v>
      </c>
      <c r="AD12" s="14">
        <v>5</v>
      </c>
      <c r="AE12" s="14">
        <v>6</v>
      </c>
      <c r="AF12" s="14">
        <v>3</v>
      </c>
      <c r="AG12" s="14">
        <v>6</v>
      </c>
      <c r="AH12" s="15">
        <v>7</v>
      </c>
      <c r="AI12" s="15">
        <v>7</v>
      </c>
      <c r="AJ12" s="14">
        <v>6</v>
      </c>
      <c r="AK12" s="15">
        <v>7</v>
      </c>
      <c r="AL12" s="15">
        <v>7</v>
      </c>
      <c r="AM12" s="14">
        <v>6</v>
      </c>
      <c r="AN12" s="14">
        <v>5</v>
      </c>
      <c r="AO12" s="15">
        <v>7</v>
      </c>
      <c r="AP12" s="14">
        <v>6</v>
      </c>
      <c r="AQ12" s="35">
        <v>6</v>
      </c>
      <c r="AR12" s="14">
        <v>5</v>
      </c>
      <c r="AS12" s="14">
        <v>5</v>
      </c>
      <c r="AT12" s="15" t="s">
        <v>98</v>
      </c>
      <c r="AU12" s="38" t="s">
        <v>298</v>
      </c>
      <c r="AV12" s="33"/>
      <c r="AW12" s="14">
        <v>152</v>
      </c>
      <c r="AX12" s="15">
        <v>7</v>
      </c>
      <c r="AY12" s="15">
        <v>7</v>
      </c>
      <c r="AZ12" s="15">
        <v>7</v>
      </c>
      <c r="BA12" s="15">
        <v>7</v>
      </c>
      <c r="BB12" s="15">
        <v>7</v>
      </c>
      <c r="BC12" s="15">
        <v>7</v>
      </c>
      <c r="BD12" s="15">
        <v>7</v>
      </c>
      <c r="BE12" s="15">
        <v>7</v>
      </c>
      <c r="BF12" s="15">
        <v>7</v>
      </c>
      <c r="BG12" s="15">
        <v>7</v>
      </c>
      <c r="BH12" s="15">
        <v>7</v>
      </c>
      <c r="BI12" s="15">
        <v>7</v>
      </c>
      <c r="BJ12" s="15">
        <v>7</v>
      </c>
      <c r="BK12" s="15">
        <v>7</v>
      </c>
      <c r="BL12" s="15">
        <v>7</v>
      </c>
      <c r="BM12" s="15">
        <v>7</v>
      </c>
      <c r="BN12" s="15">
        <v>7</v>
      </c>
      <c r="BO12" s="15">
        <v>7</v>
      </c>
      <c r="BP12" s="15">
        <v>7</v>
      </c>
      <c r="BQ12" s="32">
        <v>7</v>
      </c>
      <c r="BR12" s="14">
        <v>6</v>
      </c>
      <c r="BS12" s="14">
        <v>6</v>
      </c>
      <c r="BT12" s="15" t="s">
        <v>141</v>
      </c>
      <c r="BU12" s="15" t="s">
        <v>99</v>
      </c>
    </row>
    <row r="13" spans="1:73">
      <c r="A13" s="33"/>
      <c r="B13">
        <v>48</v>
      </c>
      <c r="C13" t="s">
        <v>299</v>
      </c>
      <c r="D13" s="36">
        <v>34</v>
      </c>
      <c r="E13" s="36">
        <v>24</v>
      </c>
      <c r="F13" t="s">
        <v>87</v>
      </c>
      <c r="G13" t="s">
        <v>71</v>
      </c>
      <c r="H13" t="s">
        <v>101</v>
      </c>
      <c r="I13" t="s">
        <v>90</v>
      </c>
      <c r="J13" t="s">
        <v>103</v>
      </c>
      <c r="K13" t="s">
        <v>300</v>
      </c>
      <c r="L13" t="s">
        <v>92</v>
      </c>
      <c r="M13" t="s">
        <v>78</v>
      </c>
      <c r="N13" t="s">
        <v>78</v>
      </c>
      <c r="O13" t="s">
        <v>78</v>
      </c>
      <c r="P13" t="s">
        <v>77</v>
      </c>
      <c r="Q13" t="s">
        <v>93</v>
      </c>
      <c r="R13" t="s">
        <v>77</v>
      </c>
      <c r="S13" t="s">
        <v>93</v>
      </c>
      <c r="T13" t="s">
        <v>93</v>
      </c>
      <c r="U13" s="33"/>
      <c r="V13" t="s">
        <v>301</v>
      </c>
      <c r="W13">
        <v>129</v>
      </c>
      <c r="X13">
        <v>3</v>
      </c>
      <c r="Y13">
        <v>4</v>
      </c>
      <c r="Z13">
        <v>5</v>
      </c>
      <c r="AA13">
        <v>3</v>
      </c>
      <c r="AB13">
        <v>3</v>
      </c>
      <c r="AC13">
        <v>2</v>
      </c>
      <c r="AD13">
        <v>2</v>
      </c>
      <c r="AE13">
        <v>2</v>
      </c>
      <c r="AF13">
        <v>3</v>
      </c>
      <c r="AG13">
        <v>2</v>
      </c>
      <c r="AH13">
        <v>5</v>
      </c>
      <c r="AI13">
        <v>4</v>
      </c>
      <c r="AJ13">
        <v>5</v>
      </c>
      <c r="AK13">
        <v>3</v>
      </c>
      <c r="AL13">
        <v>5</v>
      </c>
      <c r="AM13">
        <v>5</v>
      </c>
      <c r="AN13">
        <v>4</v>
      </c>
      <c r="AO13">
        <v>4</v>
      </c>
      <c r="AP13">
        <v>2</v>
      </c>
      <c r="AQ13" s="27">
        <v>5</v>
      </c>
      <c r="AR13">
        <v>3</v>
      </c>
      <c r="AS13">
        <v>3</v>
      </c>
      <c r="AT13" t="s">
        <v>302</v>
      </c>
      <c r="AU13" t="s">
        <v>99</v>
      </c>
      <c r="AV13" s="33"/>
      <c r="AW13" s="15">
        <v>140</v>
      </c>
      <c r="AX13" s="15">
        <v>7</v>
      </c>
      <c r="AY13" s="15" t="s">
        <v>95</v>
      </c>
      <c r="AZ13" s="15" t="s">
        <v>95</v>
      </c>
      <c r="BA13" s="15">
        <v>7</v>
      </c>
      <c r="BB13" s="15">
        <v>7</v>
      </c>
      <c r="BC13" s="15">
        <v>7</v>
      </c>
      <c r="BD13" s="15">
        <v>7</v>
      </c>
      <c r="BE13" s="15">
        <v>7</v>
      </c>
      <c r="BF13" s="15">
        <v>7</v>
      </c>
      <c r="BG13" s="15">
        <v>7</v>
      </c>
      <c r="BH13" s="15">
        <v>7</v>
      </c>
      <c r="BI13" s="15">
        <v>7</v>
      </c>
      <c r="BJ13" s="15">
        <v>7</v>
      </c>
      <c r="BK13" s="15">
        <v>7</v>
      </c>
      <c r="BL13" s="15">
        <v>7</v>
      </c>
      <c r="BM13" s="15">
        <v>7</v>
      </c>
      <c r="BN13" s="15">
        <v>7</v>
      </c>
      <c r="BO13" s="15">
        <v>7</v>
      </c>
      <c r="BP13" s="15">
        <v>7</v>
      </c>
      <c r="BQ13" s="32">
        <v>7</v>
      </c>
      <c r="BR13" s="15">
        <v>7</v>
      </c>
      <c r="BS13" s="15">
        <v>7</v>
      </c>
      <c r="BT13" s="15" t="s">
        <v>135</v>
      </c>
      <c r="BU13" s="15" t="s">
        <v>99</v>
      </c>
    </row>
    <row r="14" ht="12" customHeight="1" spans="1:73">
      <c r="A14" s="33"/>
      <c r="B14">
        <v>49</v>
      </c>
      <c r="C14" t="s">
        <v>303</v>
      </c>
      <c r="D14" s="36">
        <v>26</v>
      </c>
      <c r="E14" s="36">
        <v>24</v>
      </c>
      <c r="F14" t="s">
        <v>87</v>
      </c>
      <c r="G14" t="s">
        <v>88</v>
      </c>
      <c r="H14" t="s">
        <v>304</v>
      </c>
      <c r="I14" t="s">
        <v>102</v>
      </c>
      <c r="J14" t="s">
        <v>74</v>
      </c>
      <c r="K14" t="s">
        <v>124</v>
      </c>
      <c r="L14" t="s">
        <v>92</v>
      </c>
      <c r="M14" t="s">
        <v>93</v>
      </c>
      <c r="N14" t="s">
        <v>79</v>
      </c>
      <c r="O14" t="s">
        <v>77</v>
      </c>
      <c r="P14" t="s">
        <v>77</v>
      </c>
      <c r="Q14" t="s">
        <v>79</v>
      </c>
      <c r="R14" t="s">
        <v>79</v>
      </c>
      <c r="S14" t="s">
        <v>80</v>
      </c>
      <c r="T14" t="s">
        <v>93</v>
      </c>
      <c r="U14" s="33"/>
      <c r="V14" t="s">
        <v>305</v>
      </c>
      <c r="W14">
        <v>77</v>
      </c>
      <c r="X14">
        <v>6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5</v>
      </c>
      <c r="AP14">
        <v>5</v>
      </c>
      <c r="AQ14" s="27">
        <v>6</v>
      </c>
      <c r="AR14">
        <v>6</v>
      </c>
      <c r="AS14">
        <v>6</v>
      </c>
      <c r="AT14" t="s">
        <v>165</v>
      </c>
      <c r="AU14" t="s">
        <v>99</v>
      </c>
      <c r="AV14" s="33"/>
      <c r="AW14" s="15">
        <v>93</v>
      </c>
      <c r="AX14" s="15">
        <v>4</v>
      </c>
      <c r="AY14" s="15">
        <v>4</v>
      </c>
      <c r="AZ14" s="15">
        <v>4</v>
      </c>
      <c r="BA14" s="15">
        <v>3</v>
      </c>
      <c r="BB14" s="15">
        <v>3</v>
      </c>
      <c r="BC14" s="15">
        <v>3</v>
      </c>
      <c r="BD14" s="15">
        <v>5</v>
      </c>
      <c r="BE14" s="15">
        <v>5</v>
      </c>
      <c r="BF14" s="15">
        <v>4</v>
      </c>
      <c r="BG14" s="15">
        <v>5</v>
      </c>
      <c r="BH14" s="15">
        <v>3</v>
      </c>
      <c r="BI14" s="15">
        <v>6</v>
      </c>
      <c r="BJ14" s="15">
        <v>5</v>
      </c>
      <c r="BK14" s="15">
        <v>5</v>
      </c>
      <c r="BL14" s="15">
        <v>3</v>
      </c>
      <c r="BM14" s="15">
        <v>5</v>
      </c>
      <c r="BN14" s="15">
        <v>5</v>
      </c>
      <c r="BO14" s="15">
        <v>3</v>
      </c>
      <c r="BP14" s="15">
        <v>4</v>
      </c>
      <c r="BQ14" s="32">
        <v>5</v>
      </c>
      <c r="BR14" s="15">
        <v>5</v>
      </c>
      <c r="BS14" s="15">
        <v>4</v>
      </c>
      <c r="BT14" s="15" t="s">
        <v>302</v>
      </c>
      <c r="BU14" s="15" t="s">
        <v>306</v>
      </c>
    </row>
    <row r="15" spans="1:73">
      <c r="A15" s="33"/>
      <c r="B15" s="3">
        <v>50</v>
      </c>
      <c r="C15" s="3" t="s">
        <v>133</v>
      </c>
      <c r="D15" s="39">
        <v>37</v>
      </c>
      <c r="E15" s="39">
        <v>18</v>
      </c>
      <c r="F15" s="3" t="s">
        <v>70</v>
      </c>
      <c r="G15" s="3" t="s">
        <v>71</v>
      </c>
      <c r="H15" s="3" t="s">
        <v>101</v>
      </c>
      <c r="I15" s="3" t="s">
        <v>90</v>
      </c>
      <c r="J15" s="3" t="s">
        <v>103</v>
      </c>
      <c r="K15" s="3" t="s">
        <v>124</v>
      </c>
      <c r="L15" s="3" t="s">
        <v>92</v>
      </c>
      <c r="M15" s="3" t="s">
        <v>77</v>
      </c>
      <c r="N15" s="3" t="s">
        <v>79</v>
      </c>
      <c r="O15" s="3" t="s">
        <v>77</v>
      </c>
      <c r="P15" s="3" t="s">
        <v>78</v>
      </c>
      <c r="Q15" s="3" t="s">
        <v>78</v>
      </c>
      <c r="R15" s="3" t="s">
        <v>78</v>
      </c>
      <c r="S15" s="3" t="s">
        <v>93</v>
      </c>
      <c r="T15" s="3" t="s">
        <v>77</v>
      </c>
      <c r="U15" s="34"/>
      <c r="V15" s="15" t="s">
        <v>307</v>
      </c>
      <c r="W15" s="14">
        <v>116</v>
      </c>
      <c r="X15" s="14">
        <v>3</v>
      </c>
      <c r="Y15" s="14">
        <v>5</v>
      </c>
      <c r="Z15" s="14">
        <v>6</v>
      </c>
      <c r="AA15" s="14">
        <v>5</v>
      </c>
      <c r="AB15" s="14">
        <v>5</v>
      </c>
      <c r="AC15" s="14">
        <v>6</v>
      </c>
      <c r="AD15" s="14">
        <v>6</v>
      </c>
      <c r="AE15" s="14">
        <v>5</v>
      </c>
      <c r="AF15" s="14">
        <v>5</v>
      </c>
      <c r="AG15" s="14">
        <v>6</v>
      </c>
      <c r="AH15" s="14">
        <v>6</v>
      </c>
      <c r="AI15" s="14">
        <v>5</v>
      </c>
      <c r="AJ15" s="14">
        <v>5</v>
      </c>
      <c r="AK15" s="14">
        <v>6</v>
      </c>
      <c r="AL15" s="14">
        <v>6</v>
      </c>
      <c r="AM15" s="14">
        <v>5</v>
      </c>
      <c r="AN15" s="15">
        <v>4</v>
      </c>
      <c r="AO15" s="14">
        <v>6</v>
      </c>
      <c r="AP15" s="14">
        <v>6</v>
      </c>
      <c r="AQ15" s="35">
        <v>6</v>
      </c>
      <c r="AR15" s="14">
        <v>5</v>
      </c>
      <c r="AS15" s="15">
        <v>4</v>
      </c>
      <c r="AT15" s="15" t="s">
        <v>235</v>
      </c>
      <c r="AU15" s="15" t="s">
        <v>308</v>
      </c>
      <c r="AV15" s="33"/>
      <c r="AW15" s="14">
        <v>121</v>
      </c>
      <c r="AX15" s="15">
        <v>4</v>
      </c>
      <c r="AY15" s="14">
        <v>6</v>
      </c>
      <c r="AZ15" s="14">
        <v>5</v>
      </c>
      <c r="BA15" s="15">
        <v>7</v>
      </c>
      <c r="BB15" s="14">
        <v>6</v>
      </c>
      <c r="BC15" s="14">
        <v>6</v>
      </c>
      <c r="BD15" s="15">
        <v>7</v>
      </c>
      <c r="BE15" s="15">
        <v>4</v>
      </c>
      <c r="BF15" s="15">
        <v>4</v>
      </c>
      <c r="BG15" s="14">
        <v>5</v>
      </c>
      <c r="BH15" s="15">
        <v>7</v>
      </c>
      <c r="BI15" s="15">
        <v>7</v>
      </c>
      <c r="BJ15" s="14">
        <v>6</v>
      </c>
      <c r="BK15" s="15">
        <v>4</v>
      </c>
      <c r="BL15" s="14">
        <v>6</v>
      </c>
      <c r="BM15" s="15">
        <v>4</v>
      </c>
      <c r="BN15" s="14">
        <v>5</v>
      </c>
      <c r="BO15" s="14">
        <v>6</v>
      </c>
      <c r="BP15" s="14">
        <v>6</v>
      </c>
      <c r="BQ15" s="35">
        <v>6</v>
      </c>
      <c r="BR15" s="14">
        <v>6</v>
      </c>
      <c r="BS15" s="15">
        <v>4</v>
      </c>
      <c r="BT15" s="15" t="s">
        <v>309</v>
      </c>
      <c r="BU15" s="15" t="s">
        <v>310</v>
      </c>
    </row>
    <row r="16" spans="1:73">
      <c r="A16" s="33"/>
      <c r="B16">
        <v>51</v>
      </c>
      <c r="C16" t="s">
        <v>311</v>
      </c>
      <c r="D16" s="36">
        <v>30</v>
      </c>
      <c r="E16" s="36">
        <v>20</v>
      </c>
      <c r="F16" t="s">
        <v>70</v>
      </c>
      <c r="G16" t="s">
        <v>71</v>
      </c>
      <c r="H16" t="s">
        <v>89</v>
      </c>
      <c r="I16" t="s">
        <v>102</v>
      </c>
      <c r="J16" t="s">
        <v>103</v>
      </c>
      <c r="K16" s="37" t="s">
        <v>312</v>
      </c>
      <c r="L16" t="s">
        <v>92</v>
      </c>
      <c r="M16" t="s">
        <v>93</v>
      </c>
      <c r="N16" t="s">
        <v>80</v>
      </c>
      <c r="O16" t="s">
        <v>78</v>
      </c>
      <c r="P16" t="s">
        <v>78</v>
      </c>
      <c r="Q16" t="s">
        <v>79</v>
      </c>
      <c r="R16" t="s">
        <v>79</v>
      </c>
      <c r="S16" t="s">
        <v>93</v>
      </c>
      <c r="T16" t="s">
        <v>77</v>
      </c>
      <c r="U16" s="34"/>
      <c r="V16" s="15" t="s">
        <v>313</v>
      </c>
      <c r="W16" s="14">
        <v>103</v>
      </c>
      <c r="X16" s="15">
        <v>4</v>
      </c>
      <c r="Y16" s="14">
        <v>5</v>
      </c>
      <c r="Z16" s="14">
        <v>3</v>
      </c>
      <c r="AA16" s="14">
        <v>5</v>
      </c>
      <c r="AB16" s="15">
        <v>4</v>
      </c>
      <c r="AC16" s="15">
        <v>4</v>
      </c>
      <c r="AD16" s="15">
        <v>4</v>
      </c>
      <c r="AE16" s="14">
        <v>3</v>
      </c>
      <c r="AF16" s="14">
        <v>6</v>
      </c>
      <c r="AG16" s="14">
        <v>5</v>
      </c>
      <c r="AH16" s="14">
        <v>6</v>
      </c>
      <c r="AI16" s="14">
        <v>6</v>
      </c>
      <c r="AJ16" s="14">
        <v>6</v>
      </c>
      <c r="AK16" s="14">
        <v>6</v>
      </c>
      <c r="AL16" s="14">
        <v>6</v>
      </c>
      <c r="AM16" s="14">
        <v>6</v>
      </c>
      <c r="AN16" s="14">
        <v>6</v>
      </c>
      <c r="AO16" s="15">
        <v>4</v>
      </c>
      <c r="AP16" s="14">
        <v>3</v>
      </c>
      <c r="AQ16" s="32">
        <v>4</v>
      </c>
      <c r="AR16" s="14">
        <v>3</v>
      </c>
      <c r="AS16" s="15">
        <v>4</v>
      </c>
      <c r="AT16" s="15" t="s">
        <v>84</v>
      </c>
      <c r="AU16" s="15" t="s">
        <v>314</v>
      </c>
      <c r="AV16" s="33"/>
      <c r="AW16" s="14">
        <v>125</v>
      </c>
      <c r="AX16" s="14">
        <v>6</v>
      </c>
      <c r="AY16" s="14">
        <v>5</v>
      </c>
      <c r="AZ16" s="14">
        <v>6</v>
      </c>
      <c r="BA16" s="14">
        <v>6</v>
      </c>
      <c r="BB16" s="14">
        <v>6</v>
      </c>
      <c r="BC16" s="14">
        <v>6</v>
      </c>
      <c r="BD16" s="14">
        <v>6</v>
      </c>
      <c r="BE16" s="14">
        <v>6</v>
      </c>
      <c r="BF16" s="14">
        <v>6</v>
      </c>
      <c r="BG16" s="14">
        <v>6</v>
      </c>
      <c r="BH16" s="14">
        <v>6</v>
      </c>
      <c r="BI16" s="14">
        <v>6</v>
      </c>
      <c r="BJ16" s="14">
        <v>6</v>
      </c>
      <c r="BK16" s="14">
        <v>6</v>
      </c>
      <c r="BL16" s="14">
        <v>6</v>
      </c>
      <c r="BM16" s="14">
        <v>5</v>
      </c>
      <c r="BN16" s="14">
        <v>5</v>
      </c>
      <c r="BO16" s="15">
        <v>4</v>
      </c>
      <c r="BP16" s="14">
        <v>6</v>
      </c>
      <c r="BQ16" s="35">
        <v>6</v>
      </c>
      <c r="BR16" s="14">
        <v>6</v>
      </c>
      <c r="BS16" s="15">
        <v>4</v>
      </c>
      <c r="BT16" s="15" t="s">
        <v>98</v>
      </c>
      <c r="BU16" s="15" t="s">
        <v>315</v>
      </c>
    </row>
    <row r="17" spans="1:73">
      <c r="A17" s="33"/>
      <c r="B17">
        <v>52</v>
      </c>
      <c r="C17" t="s">
        <v>187</v>
      </c>
      <c r="D17" s="36">
        <v>38</v>
      </c>
      <c r="E17" s="36">
        <v>22</v>
      </c>
      <c r="F17" t="s">
        <v>87</v>
      </c>
      <c r="G17" t="s">
        <v>71</v>
      </c>
      <c r="H17" t="s">
        <v>101</v>
      </c>
      <c r="I17" t="s">
        <v>90</v>
      </c>
      <c r="J17" t="s">
        <v>74</v>
      </c>
      <c r="K17" t="s">
        <v>91</v>
      </c>
      <c r="L17" t="s">
        <v>92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80</v>
      </c>
      <c r="T17" t="s">
        <v>79</v>
      </c>
      <c r="U17" s="33"/>
      <c r="V17" t="s">
        <v>150</v>
      </c>
      <c r="W17">
        <v>67</v>
      </c>
      <c r="X17">
        <v>2</v>
      </c>
      <c r="Y17">
        <v>3</v>
      </c>
      <c r="Z17">
        <v>4</v>
      </c>
      <c r="AA17">
        <v>1</v>
      </c>
      <c r="AB17">
        <v>3</v>
      </c>
      <c r="AC17">
        <v>6</v>
      </c>
      <c r="AD17">
        <v>5</v>
      </c>
      <c r="AE17">
        <v>3</v>
      </c>
      <c r="AF17">
        <v>5</v>
      </c>
      <c r="AG17">
        <v>2</v>
      </c>
      <c r="AH17">
        <v>1</v>
      </c>
      <c r="AI17">
        <v>6</v>
      </c>
      <c r="AJ17">
        <v>5</v>
      </c>
      <c r="AK17">
        <v>1</v>
      </c>
      <c r="AL17">
        <v>5</v>
      </c>
      <c r="AM17">
        <v>4</v>
      </c>
      <c r="AN17">
        <v>1</v>
      </c>
      <c r="AO17">
        <v>1</v>
      </c>
      <c r="AP17">
        <v>1</v>
      </c>
      <c r="AQ17" s="27">
        <v>4</v>
      </c>
      <c r="AR17">
        <v>3</v>
      </c>
      <c r="AS17">
        <v>1</v>
      </c>
      <c r="AT17" t="s">
        <v>174</v>
      </c>
      <c r="AU17" t="s">
        <v>316</v>
      </c>
      <c r="AV17" s="33"/>
      <c r="AW17" s="15">
        <v>127</v>
      </c>
      <c r="AX17" s="15">
        <v>6</v>
      </c>
      <c r="AY17" s="15">
        <v>6</v>
      </c>
      <c r="AZ17" s="15">
        <v>6</v>
      </c>
      <c r="BA17" s="15">
        <v>7</v>
      </c>
      <c r="BB17" s="15">
        <v>7</v>
      </c>
      <c r="BC17" s="15">
        <v>7</v>
      </c>
      <c r="BD17" s="15">
        <v>6</v>
      </c>
      <c r="BE17" s="15">
        <v>4</v>
      </c>
      <c r="BF17" s="15">
        <v>6</v>
      </c>
      <c r="BG17" s="15">
        <v>6</v>
      </c>
      <c r="BH17" s="15">
        <v>6</v>
      </c>
      <c r="BI17" s="15">
        <v>6</v>
      </c>
      <c r="BJ17" s="15">
        <v>6</v>
      </c>
      <c r="BK17" s="15">
        <v>6</v>
      </c>
      <c r="BL17" s="15">
        <v>6</v>
      </c>
      <c r="BM17" s="15">
        <v>6</v>
      </c>
      <c r="BN17" s="15">
        <v>6</v>
      </c>
      <c r="BO17" s="15">
        <v>6</v>
      </c>
      <c r="BP17" s="15">
        <v>6</v>
      </c>
      <c r="BQ17" s="32">
        <v>5</v>
      </c>
      <c r="BR17" s="15">
        <v>4</v>
      </c>
      <c r="BS17" s="15">
        <v>3</v>
      </c>
      <c r="BT17" s="15" t="s">
        <v>317</v>
      </c>
      <c r="BU17" s="15" t="s">
        <v>318</v>
      </c>
    </row>
    <row r="18" spans="1:73">
      <c r="A18" s="33"/>
      <c r="B18">
        <v>53</v>
      </c>
      <c r="C18" t="s">
        <v>319</v>
      </c>
      <c r="D18" s="36">
        <v>34</v>
      </c>
      <c r="E18" s="36">
        <v>19</v>
      </c>
      <c r="F18" t="s">
        <v>87</v>
      </c>
      <c r="G18" t="s">
        <v>71</v>
      </c>
      <c r="H18" t="s">
        <v>101</v>
      </c>
      <c r="I18" t="s">
        <v>90</v>
      </c>
      <c r="J18" t="s">
        <v>74</v>
      </c>
      <c r="K18" t="s">
        <v>131</v>
      </c>
      <c r="L18" t="s">
        <v>125</v>
      </c>
      <c r="M18" t="s">
        <v>77</v>
      </c>
      <c r="N18" t="s">
        <v>79</v>
      </c>
      <c r="O18" t="s">
        <v>77</v>
      </c>
      <c r="P18" t="s">
        <v>77</v>
      </c>
      <c r="Q18" t="s">
        <v>77</v>
      </c>
      <c r="R18" t="s">
        <v>77</v>
      </c>
      <c r="S18" t="s">
        <v>93</v>
      </c>
      <c r="T18" t="s">
        <v>78</v>
      </c>
      <c r="U18" s="34"/>
      <c r="V18" s="15" t="s">
        <v>320</v>
      </c>
      <c r="W18" s="14">
        <v>131</v>
      </c>
      <c r="X18" s="14">
        <v>6</v>
      </c>
      <c r="Y18" s="14">
        <v>5</v>
      </c>
      <c r="Z18" s="14">
        <v>6</v>
      </c>
      <c r="AA18" s="14">
        <v>6</v>
      </c>
      <c r="AB18" s="14">
        <v>6</v>
      </c>
      <c r="AC18" s="14">
        <v>6</v>
      </c>
      <c r="AD18" s="14">
        <v>6</v>
      </c>
      <c r="AE18" s="14">
        <v>6</v>
      </c>
      <c r="AF18" s="14">
        <v>6</v>
      </c>
      <c r="AG18" s="15">
        <v>7</v>
      </c>
      <c r="AH18" s="15">
        <v>7</v>
      </c>
      <c r="AI18" s="14">
        <v>6</v>
      </c>
      <c r="AJ18" s="14">
        <v>6</v>
      </c>
      <c r="AK18" s="15">
        <v>7</v>
      </c>
      <c r="AL18" s="14">
        <v>6</v>
      </c>
      <c r="AM18" s="14">
        <v>5</v>
      </c>
      <c r="AN18" s="14">
        <v>6</v>
      </c>
      <c r="AO18" s="14">
        <v>6</v>
      </c>
      <c r="AP18" s="14">
        <v>6</v>
      </c>
      <c r="AQ18" s="35">
        <v>6</v>
      </c>
      <c r="AR18" s="14">
        <v>6</v>
      </c>
      <c r="AS18" s="15">
        <v>4</v>
      </c>
      <c r="AT18" s="15" t="s">
        <v>321</v>
      </c>
      <c r="AU18" s="15" t="s">
        <v>322</v>
      </c>
      <c r="AV18" s="33"/>
      <c r="AW18" s="14">
        <v>134</v>
      </c>
      <c r="AX18" s="14">
        <v>5</v>
      </c>
      <c r="AY18" s="14">
        <v>6</v>
      </c>
      <c r="AZ18" s="14">
        <v>6</v>
      </c>
      <c r="BA18" s="14">
        <v>6</v>
      </c>
      <c r="BB18" s="14">
        <v>5</v>
      </c>
      <c r="BC18" s="14">
        <v>6</v>
      </c>
      <c r="BD18" s="14">
        <v>6</v>
      </c>
      <c r="BE18" s="14">
        <v>6</v>
      </c>
      <c r="BF18" s="14">
        <v>6</v>
      </c>
      <c r="BG18" s="14">
        <v>6</v>
      </c>
      <c r="BH18" s="15">
        <v>7</v>
      </c>
      <c r="BI18" s="14">
        <v>6</v>
      </c>
      <c r="BJ18" s="14">
        <v>6</v>
      </c>
      <c r="BK18" s="15">
        <v>7</v>
      </c>
      <c r="BL18" s="14">
        <v>6</v>
      </c>
      <c r="BM18" s="15">
        <v>7</v>
      </c>
      <c r="BN18" s="14">
        <v>6</v>
      </c>
      <c r="BO18" s="14">
        <v>6</v>
      </c>
      <c r="BP18" s="14">
        <v>6</v>
      </c>
      <c r="BQ18" s="35">
        <v>6</v>
      </c>
      <c r="BR18" s="14">
        <v>6</v>
      </c>
      <c r="BS18" s="15">
        <v>7</v>
      </c>
      <c r="BT18" s="15" t="s">
        <v>323</v>
      </c>
      <c r="BU18" s="15" t="s">
        <v>324</v>
      </c>
    </row>
    <row r="19" spans="1:73">
      <c r="A19" s="33"/>
      <c r="B19">
        <v>54</v>
      </c>
      <c r="C19" t="s">
        <v>325</v>
      </c>
      <c r="D19" s="36">
        <v>27</v>
      </c>
      <c r="E19" s="36">
        <v>22</v>
      </c>
      <c r="F19" t="s">
        <v>70</v>
      </c>
      <c r="G19" t="s">
        <v>88</v>
      </c>
      <c r="H19" t="s">
        <v>89</v>
      </c>
      <c r="I19" t="s">
        <v>102</v>
      </c>
      <c r="J19" t="s">
        <v>103</v>
      </c>
      <c r="K19" t="s">
        <v>210</v>
      </c>
      <c r="L19" t="s">
        <v>92</v>
      </c>
      <c r="M19" t="s">
        <v>93</v>
      </c>
      <c r="N19" t="s">
        <v>93</v>
      </c>
      <c r="O19" t="s">
        <v>78</v>
      </c>
      <c r="P19" t="s">
        <v>78</v>
      </c>
      <c r="Q19" t="s">
        <v>80</v>
      </c>
      <c r="R19" t="s">
        <v>80</v>
      </c>
      <c r="S19" t="s">
        <v>93</v>
      </c>
      <c r="T19" t="s">
        <v>77</v>
      </c>
      <c r="U19" s="34"/>
      <c r="V19" s="15" t="s">
        <v>326</v>
      </c>
      <c r="W19" s="14">
        <v>153</v>
      </c>
      <c r="X19" s="14">
        <v>6</v>
      </c>
      <c r="Y19" s="15">
        <v>7</v>
      </c>
      <c r="Z19" s="15">
        <v>7</v>
      </c>
      <c r="AA19" s="15">
        <v>7</v>
      </c>
      <c r="AB19" s="15">
        <v>7</v>
      </c>
      <c r="AC19" s="15">
        <v>7</v>
      </c>
      <c r="AD19" s="15">
        <v>7</v>
      </c>
      <c r="AE19" s="15">
        <v>7</v>
      </c>
      <c r="AF19" s="15">
        <v>7</v>
      </c>
      <c r="AG19" s="15">
        <v>7</v>
      </c>
      <c r="AH19" s="15">
        <v>7</v>
      </c>
      <c r="AI19" s="15">
        <v>7</v>
      </c>
      <c r="AJ19" s="15">
        <v>7</v>
      </c>
      <c r="AK19" s="15">
        <v>7</v>
      </c>
      <c r="AL19" s="15">
        <v>7</v>
      </c>
      <c r="AM19" s="15">
        <v>7</v>
      </c>
      <c r="AN19" s="15">
        <v>7</v>
      </c>
      <c r="AO19" s="15">
        <v>7</v>
      </c>
      <c r="AP19" s="15">
        <v>7</v>
      </c>
      <c r="AQ19" s="32">
        <v>7</v>
      </c>
      <c r="AR19" s="15">
        <v>7</v>
      </c>
      <c r="AS19" s="15">
        <v>7</v>
      </c>
      <c r="AT19" s="15" t="s">
        <v>98</v>
      </c>
      <c r="AU19" s="15" t="s">
        <v>99</v>
      </c>
      <c r="AV19" s="33"/>
      <c r="AW19" s="14">
        <v>144</v>
      </c>
      <c r="AX19" s="14">
        <v>5</v>
      </c>
      <c r="AY19" s="15">
        <v>7</v>
      </c>
      <c r="AZ19" s="15">
        <v>7</v>
      </c>
      <c r="BA19" s="15">
        <v>7</v>
      </c>
      <c r="BB19" s="14">
        <v>6</v>
      </c>
      <c r="BC19" s="15">
        <v>7</v>
      </c>
      <c r="BD19" s="14">
        <v>5</v>
      </c>
      <c r="BE19" s="15">
        <v>7</v>
      </c>
      <c r="BF19" s="14">
        <v>6</v>
      </c>
      <c r="BG19" s="15">
        <v>7</v>
      </c>
      <c r="BH19" s="15">
        <v>7</v>
      </c>
      <c r="BI19" s="15">
        <v>7</v>
      </c>
      <c r="BJ19" s="15">
        <v>7</v>
      </c>
      <c r="BK19" s="15">
        <v>7</v>
      </c>
      <c r="BL19" s="15">
        <v>7</v>
      </c>
      <c r="BM19" s="15">
        <v>7</v>
      </c>
      <c r="BN19" s="15">
        <v>7</v>
      </c>
      <c r="BO19" s="15">
        <v>7</v>
      </c>
      <c r="BP19" s="15">
        <v>7</v>
      </c>
      <c r="BQ19" s="35">
        <v>5</v>
      </c>
      <c r="BR19" s="15">
        <v>7</v>
      </c>
      <c r="BS19" s="14">
        <v>5</v>
      </c>
      <c r="BT19" s="15" t="s">
        <v>84</v>
      </c>
      <c r="BU19" s="15" t="s">
        <v>99</v>
      </c>
    </row>
    <row r="20" spans="1:73">
      <c r="A20" s="33"/>
      <c r="B20">
        <v>55</v>
      </c>
      <c r="C20" t="s">
        <v>194</v>
      </c>
      <c r="D20" s="36">
        <v>39</v>
      </c>
      <c r="E20" s="36">
        <v>22</v>
      </c>
      <c r="F20" t="s">
        <v>70</v>
      </c>
      <c r="G20" t="s">
        <v>88</v>
      </c>
      <c r="H20" t="s">
        <v>101</v>
      </c>
      <c r="I20" t="s">
        <v>90</v>
      </c>
      <c r="J20" t="s">
        <v>103</v>
      </c>
      <c r="K20" t="s">
        <v>131</v>
      </c>
      <c r="L20" t="s">
        <v>92</v>
      </c>
      <c r="M20" t="s">
        <v>77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80</v>
      </c>
      <c r="T20" t="s">
        <v>77</v>
      </c>
      <c r="U20" s="34"/>
      <c r="V20" s="15" t="s">
        <v>327</v>
      </c>
      <c r="W20" s="14">
        <v>93</v>
      </c>
      <c r="X20" s="14">
        <v>2</v>
      </c>
      <c r="Y20" s="14">
        <v>5</v>
      </c>
      <c r="Z20" s="14">
        <v>5</v>
      </c>
      <c r="AA20" s="14">
        <v>3</v>
      </c>
      <c r="AB20" s="14">
        <v>2</v>
      </c>
      <c r="AC20" s="15">
        <v>4</v>
      </c>
      <c r="AD20" s="14">
        <v>5</v>
      </c>
      <c r="AE20" s="14">
        <v>2</v>
      </c>
      <c r="AF20" s="14">
        <v>2</v>
      </c>
      <c r="AG20" s="14">
        <v>2</v>
      </c>
      <c r="AH20" s="14">
        <v>6</v>
      </c>
      <c r="AI20" s="14">
        <v>6</v>
      </c>
      <c r="AJ20" s="14">
        <v>6</v>
      </c>
      <c r="AK20" s="14">
        <v>3</v>
      </c>
      <c r="AL20" s="14">
        <v>6</v>
      </c>
      <c r="AM20" s="14">
        <v>6</v>
      </c>
      <c r="AN20" s="15">
        <v>4</v>
      </c>
      <c r="AO20" s="14">
        <v>6</v>
      </c>
      <c r="AP20" s="14">
        <v>6</v>
      </c>
      <c r="AQ20" s="32">
        <v>4</v>
      </c>
      <c r="AR20" s="15">
        <v>4</v>
      </c>
      <c r="AS20" s="15">
        <v>4</v>
      </c>
      <c r="AT20" s="15" t="s">
        <v>281</v>
      </c>
      <c r="AU20" s="15" t="s">
        <v>328</v>
      </c>
      <c r="AV20" s="33"/>
      <c r="AW20" s="14">
        <v>117</v>
      </c>
      <c r="AX20" s="14">
        <v>3</v>
      </c>
      <c r="AY20" s="15">
        <v>7</v>
      </c>
      <c r="AZ20" s="15">
        <v>7</v>
      </c>
      <c r="BA20" s="14">
        <v>5</v>
      </c>
      <c r="BB20" s="14">
        <v>5</v>
      </c>
      <c r="BC20" s="15">
        <v>4</v>
      </c>
      <c r="BD20" s="14">
        <v>5</v>
      </c>
      <c r="BE20" s="14">
        <v>6</v>
      </c>
      <c r="BF20" s="14">
        <v>5</v>
      </c>
      <c r="BG20" s="14">
        <v>5</v>
      </c>
      <c r="BH20" s="14">
        <v>6</v>
      </c>
      <c r="BI20" s="14">
        <v>6</v>
      </c>
      <c r="BJ20" s="14">
        <v>6</v>
      </c>
      <c r="BK20" s="14">
        <v>6</v>
      </c>
      <c r="BL20" s="14">
        <v>6</v>
      </c>
      <c r="BM20" s="14">
        <v>6</v>
      </c>
      <c r="BN20" s="14">
        <v>6</v>
      </c>
      <c r="BO20" s="14">
        <v>6</v>
      </c>
      <c r="BP20" s="14">
        <v>6</v>
      </c>
      <c r="BQ20" s="32">
        <v>4</v>
      </c>
      <c r="BR20" s="14">
        <v>3</v>
      </c>
      <c r="BS20" s="15">
        <v>4</v>
      </c>
      <c r="BT20" s="15" t="s">
        <v>157</v>
      </c>
      <c r="BU20" s="15" t="s">
        <v>99</v>
      </c>
    </row>
    <row r="21" spans="1:73">
      <c r="A21" s="33"/>
      <c r="B21">
        <v>56</v>
      </c>
      <c r="C21" t="s">
        <v>329</v>
      </c>
      <c r="D21" s="36">
        <v>34</v>
      </c>
      <c r="E21" s="36">
        <v>23</v>
      </c>
      <c r="F21" t="s">
        <v>87</v>
      </c>
      <c r="G21" t="s">
        <v>88</v>
      </c>
      <c r="H21" t="s">
        <v>101</v>
      </c>
      <c r="I21" t="s">
        <v>90</v>
      </c>
      <c r="J21" t="s">
        <v>123</v>
      </c>
      <c r="K21" t="s">
        <v>104</v>
      </c>
      <c r="L21" t="s">
        <v>125</v>
      </c>
      <c r="M21" t="s">
        <v>78</v>
      </c>
      <c r="N21" t="s">
        <v>78</v>
      </c>
      <c r="O21" t="s">
        <v>78</v>
      </c>
      <c r="P21" t="s">
        <v>79</v>
      </c>
      <c r="Q21" t="s">
        <v>93</v>
      </c>
      <c r="R21" t="s">
        <v>78</v>
      </c>
      <c r="S21" t="s">
        <v>93</v>
      </c>
      <c r="T21" t="s">
        <v>77</v>
      </c>
      <c r="U21" s="33"/>
      <c r="V21" t="s">
        <v>330</v>
      </c>
      <c r="W21">
        <v>81</v>
      </c>
      <c r="X21">
        <v>6</v>
      </c>
      <c r="Y21">
        <v>2</v>
      </c>
      <c r="Z21">
        <v>2</v>
      </c>
      <c r="AA21">
        <v>4</v>
      </c>
      <c r="AB21">
        <v>4</v>
      </c>
      <c r="AC21">
        <v>5</v>
      </c>
      <c r="AD21">
        <v>5</v>
      </c>
      <c r="AE21">
        <v>5</v>
      </c>
      <c r="AF21">
        <v>4</v>
      </c>
      <c r="AG21">
        <v>4</v>
      </c>
      <c r="AH21">
        <v>7</v>
      </c>
      <c r="AI21">
        <v>7</v>
      </c>
      <c r="AJ21">
        <v>6</v>
      </c>
      <c r="AK21">
        <v>3</v>
      </c>
      <c r="AL21">
        <v>7</v>
      </c>
      <c r="AM21">
        <v>6</v>
      </c>
      <c r="AN21">
        <v>5</v>
      </c>
      <c r="AO21">
        <v>3</v>
      </c>
      <c r="AP21">
        <v>2</v>
      </c>
      <c r="AQ21" s="27">
        <v>4</v>
      </c>
      <c r="AR21">
        <v>3</v>
      </c>
      <c r="AS21">
        <v>3</v>
      </c>
      <c r="AT21" t="s">
        <v>221</v>
      </c>
      <c r="AU21" t="s">
        <v>331</v>
      </c>
      <c r="AV21" s="33"/>
      <c r="AW21" s="15">
        <v>134</v>
      </c>
      <c r="AX21" s="15">
        <v>6</v>
      </c>
      <c r="AY21" s="15">
        <v>6</v>
      </c>
      <c r="AZ21" s="15">
        <v>6</v>
      </c>
      <c r="BA21" s="15">
        <v>5</v>
      </c>
      <c r="BB21" s="15">
        <v>6</v>
      </c>
      <c r="BC21" s="15">
        <v>6</v>
      </c>
      <c r="BD21" s="15">
        <v>6</v>
      </c>
      <c r="BE21" s="15">
        <v>6</v>
      </c>
      <c r="BF21" s="15">
        <v>6</v>
      </c>
      <c r="BG21" s="15">
        <v>6</v>
      </c>
      <c r="BH21" s="15">
        <v>7</v>
      </c>
      <c r="BI21" s="15">
        <v>7</v>
      </c>
      <c r="BJ21" s="15">
        <v>6</v>
      </c>
      <c r="BK21" s="15">
        <v>6</v>
      </c>
      <c r="BL21" s="15">
        <v>6</v>
      </c>
      <c r="BM21" s="15">
        <v>7</v>
      </c>
      <c r="BN21" s="15">
        <v>6</v>
      </c>
      <c r="BO21" s="15">
        <v>6</v>
      </c>
      <c r="BP21" s="15">
        <v>7</v>
      </c>
      <c r="BQ21" s="32">
        <v>7</v>
      </c>
      <c r="BR21" s="15">
        <v>5</v>
      </c>
      <c r="BS21" s="15">
        <v>5</v>
      </c>
      <c r="BT21" s="15" t="s">
        <v>106</v>
      </c>
      <c r="BU21" s="15" t="s">
        <v>332</v>
      </c>
    </row>
    <row r="22" customFormat="1" spans="1:73">
      <c r="A22" s="33"/>
      <c r="B22">
        <v>57</v>
      </c>
      <c r="C22" t="s">
        <v>333</v>
      </c>
      <c r="D22" s="36">
        <v>35</v>
      </c>
      <c r="E22" s="36">
        <v>23</v>
      </c>
      <c r="F22" t="s">
        <v>87</v>
      </c>
      <c r="G22" t="s">
        <v>88</v>
      </c>
      <c r="H22" t="s">
        <v>72</v>
      </c>
      <c r="I22" t="s">
        <v>90</v>
      </c>
      <c r="J22" t="s">
        <v>103</v>
      </c>
      <c r="K22" t="s">
        <v>160</v>
      </c>
      <c r="L22" t="s">
        <v>92</v>
      </c>
      <c r="M22" t="s">
        <v>78</v>
      </c>
      <c r="N22" t="s">
        <v>93</v>
      </c>
      <c r="O22" t="s">
        <v>78</v>
      </c>
      <c r="P22" t="s">
        <v>78</v>
      </c>
      <c r="Q22" t="s">
        <v>79</v>
      </c>
      <c r="R22" t="s">
        <v>77</v>
      </c>
      <c r="S22" t="s">
        <v>93</v>
      </c>
      <c r="T22" t="s">
        <v>77</v>
      </c>
      <c r="U22" s="33"/>
      <c r="V22" t="s">
        <v>334</v>
      </c>
      <c r="W22">
        <v>69</v>
      </c>
      <c r="X22">
        <v>5</v>
      </c>
      <c r="Y22">
        <v>4</v>
      </c>
      <c r="Z22">
        <v>3</v>
      </c>
      <c r="AA22">
        <v>5</v>
      </c>
      <c r="AB22">
        <v>3</v>
      </c>
      <c r="AC22">
        <v>3</v>
      </c>
      <c r="AD22">
        <v>6</v>
      </c>
      <c r="AE22">
        <v>5</v>
      </c>
      <c r="AF22">
        <v>5</v>
      </c>
      <c r="AG22">
        <v>3</v>
      </c>
      <c r="AH22">
        <v>6</v>
      </c>
      <c r="AI22">
        <v>4</v>
      </c>
      <c r="AJ22">
        <v>6</v>
      </c>
      <c r="AK22">
        <v>3</v>
      </c>
      <c r="AL22">
        <v>5</v>
      </c>
      <c r="AM22">
        <v>2</v>
      </c>
      <c r="AN22">
        <v>2</v>
      </c>
      <c r="AO22">
        <v>2</v>
      </c>
      <c r="AP22">
        <v>2</v>
      </c>
      <c r="AQ22" s="27">
        <v>3</v>
      </c>
      <c r="AR22">
        <v>2</v>
      </c>
      <c r="AS22">
        <v>2</v>
      </c>
      <c r="AT22" t="s">
        <v>118</v>
      </c>
      <c r="AU22" t="s">
        <v>335</v>
      </c>
      <c r="AV22" s="33"/>
      <c r="AW22" s="15">
        <v>95</v>
      </c>
      <c r="AX22" s="15">
        <v>2</v>
      </c>
      <c r="AY22" s="15">
        <v>3</v>
      </c>
      <c r="AZ22" s="15">
        <v>4</v>
      </c>
      <c r="BA22" s="15">
        <v>5</v>
      </c>
      <c r="BB22" s="15">
        <v>3</v>
      </c>
      <c r="BC22" s="15">
        <v>3</v>
      </c>
      <c r="BD22" s="15">
        <v>5</v>
      </c>
      <c r="BE22" s="15">
        <v>6</v>
      </c>
      <c r="BF22" s="15">
        <v>3</v>
      </c>
      <c r="BG22" s="15">
        <v>3</v>
      </c>
      <c r="BH22" s="15">
        <v>6</v>
      </c>
      <c r="BI22" s="15">
        <v>6</v>
      </c>
      <c r="BJ22" s="15">
        <v>6</v>
      </c>
      <c r="BK22" s="15">
        <v>6</v>
      </c>
      <c r="BL22" s="15">
        <v>3</v>
      </c>
      <c r="BM22" s="15">
        <v>3</v>
      </c>
      <c r="BN22" s="15">
        <v>5</v>
      </c>
      <c r="BO22" s="15">
        <v>6</v>
      </c>
      <c r="BP22" s="15">
        <v>6</v>
      </c>
      <c r="BQ22" s="32">
        <v>5</v>
      </c>
      <c r="BR22" s="15">
        <v>3</v>
      </c>
      <c r="BS22" s="15">
        <v>3</v>
      </c>
      <c r="BT22" s="15" t="s">
        <v>336</v>
      </c>
      <c r="BU22" s="15" t="s">
        <v>337</v>
      </c>
    </row>
    <row r="23" spans="1:73">
      <c r="A23" s="33"/>
      <c r="B23">
        <v>58</v>
      </c>
      <c r="C23" t="s">
        <v>305</v>
      </c>
      <c r="D23" s="36">
        <v>28</v>
      </c>
      <c r="E23" s="36">
        <v>26</v>
      </c>
      <c r="F23" t="s">
        <v>70</v>
      </c>
      <c r="G23" t="s">
        <v>88</v>
      </c>
      <c r="H23" t="s">
        <v>101</v>
      </c>
      <c r="I23" t="s">
        <v>237</v>
      </c>
      <c r="J23" t="s">
        <v>123</v>
      </c>
      <c r="K23" t="s">
        <v>300</v>
      </c>
      <c r="L23" t="s">
        <v>125</v>
      </c>
      <c r="M23" t="s">
        <v>79</v>
      </c>
      <c r="N23" t="s">
        <v>79</v>
      </c>
      <c r="O23" t="s">
        <v>78</v>
      </c>
      <c r="P23" t="s">
        <v>77</v>
      </c>
      <c r="Q23" t="s">
        <v>79</v>
      </c>
      <c r="R23" t="s">
        <v>79</v>
      </c>
      <c r="S23" t="s">
        <v>80</v>
      </c>
      <c r="T23" t="s">
        <v>79</v>
      </c>
      <c r="U23" s="34"/>
      <c r="V23" s="15" t="s">
        <v>338</v>
      </c>
      <c r="W23" s="14">
        <v>119</v>
      </c>
      <c r="X23" s="14">
        <v>5</v>
      </c>
      <c r="Y23" s="14">
        <v>5</v>
      </c>
      <c r="Z23" s="14">
        <v>5</v>
      </c>
      <c r="AA23" s="14">
        <v>6</v>
      </c>
      <c r="AB23" s="14">
        <v>5</v>
      </c>
      <c r="AC23" s="14">
        <v>5</v>
      </c>
      <c r="AD23" s="14">
        <v>5</v>
      </c>
      <c r="AE23" s="15">
        <v>4</v>
      </c>
      <c r="AF23" s="15">
        <v>4</v>
      </c>
      <c r="AG23" s="14">
        <v>5</v>
      </c>
      <c r="AH23" s="14">
        <v>6</v>
      </c>
      <c r="AI23" s="14">
        <v>6</v>
      </c>
      <c r="AJ23" s="14">
        <v>5</v>
      </c>
      <c r="AK23" s="14">
        <v>5</v>
      </c>
      <c r="AL23" s="15">
        <v>7</v>
      </c>
      <c r="AM23" s="14">
        <v>6</v>
      </c>
      <c r="AN23" s="14">
        <v>6</v>
      </c>
      <c r="AO23" s="15">
        <v>4</v>
      </c>
      <c r="AP23" s="15">
        <v>7</v>
      </c>
      <c r="AQ23" s="35">
        <v>6</v>
      </c>
      <c r="AR23" s="14">
        <v>6</v>
      </c>
      <c r="AS23" s="14">
        <v>6</v>
      </c>
      <c r="AT23" s="15" t="s">
        <v>157</v>
      </c>
      <c r="AU23" s="15" t="s">
        <v>99</v>
      </c>
      <c r="AV23" s="33"/>
      <c r="AW23" s="14">
        <v>99</v>
      </c>
      <c r="AX23" s="14">
        <v>3</v>
      </c>
      <c r="AY23" s="14">
        <v>5</v>
      </c>
      <c r="AZ23" s="14">
        <v>6</v>
      </c>
      <c r="BA23" s="14">
        <v>5</v>
      </c>
      <c r="BB23" s="14">
        <v>6</v>
      </c>
      <c r="BC23" s="15">
        <v>4</v>
      </c>
      <c r="BD23" s="14">
        <v>6</v>
      </c>
      <c r="BE23" s="14">
        <v>6</v>
      </c>
      <c r="BF23" s="14">
        <v>6</v>
      </c>
      <c r="BG23" s="15">
        <v>4</v>
      </c>
      <c r="BH23" s="14">
        <v>6</v>
      </c>
      <c r="BI23" s="14">
        <v>2</v>
      </c>
      <c r="BJ23" s="15">
        <v>4</v>
      </c>
      <c r="BK23" s="14">
        <v>5</v>
      </c>
      <c r="BL23" s="14">
        <v>5</v>
      </c>
      <c r="BM23" s="15">
        <v>1</v>
      </c>
      <c r="BN23" s="15">
        <v>1</v>
      </c>
      <c r="BO23" s="15">
        <v>4</v>
      </c>
      <c r="BP23" s="14">
        <v>6</v>
      </c>
      <c r="BQ23" s="32">
        <v>4</v>
      </c>
      <c r="BR23" s="14">
        <v>5</v>
      </c>
      <c r="BS23" s="14">
        <v>5</v>
      </c>
      <c r="BT23" s="15" t="s">
        <v>174</v>
      </c>
      <c r="BU23" s="15" t="s">
        <v>339</v>
      </c>
    </row>
    <row r="24" spans="1:73">
      <c r="A24" s="33"/>
      <c r="B24">
        <v>59</v>
      </c>
      <c r="C24" t="s">
        <v>145</v>
      </c>
      <c r="D24" s="36">
        <v>30</v>
      </c>
      <c r="E24" s="36">
        <v>20</v>
      </c>
      <c r="F24" t="s">
        <v>70</v>
      </c>
      <c r="G24" t="s">
        <v>71</v>
      </c>
      <c r="H24" t="s">
        <v>89</v>
      </c>
      <c r="I24" t="s">
        <v>90</v>
      </c>
      <c r="J24" t="s">
        <v>103</v>
      </c>
      <c r="K24" t="s">
        <v>131</v>
      </c>
      <c r="L24" t="s">
        <v>125</v>
      </c>
      <c r="M24" t="s">
        <v>79</v>
      </c>
      <c r="N24" t="s">
        <v>79</v>
      </c>
      <c r="O24" t="s">
        <v>78</v>
      </c>
      <c r="P24" t="s">
        <v>77</v>
      </c>
      <c r="Q24" t="s">
        <v>79</v>
      </c>
      <c r="R24" t="s">
        <v>93</v>
      </c>
      <c r="S24" t="s">
        <v>93</v>
      </c>
      <c r="T24" t="s">
        <v>79</v>
      </c>
      <c r="U24" s="34"/>
      <c r="V24" s="15" t="s">
        <v>340</v>
      </c>
      <c r="W24" s="14">
        <v>53</v>
      </c>
      <c r="X24" s="15">
        <v>1</v>
      </c>
      <c r="Y24" s="15" t="s">
        <v>155</v>
      </c>
      <c r="Z24" s="15" t="s">
        <v>155</v>
      </c>
      <c r="AA24" s="14">
        <v>2</v>
      </c>
      <c r="AB24" s="14">
        <v>2</v>
      </c>
      <c r="AC24" s="15">
        <v>4</v>
      </c>
      <c r="AD24" s="15">
        <v>7</v>
      </c>
      <c r="AE24" s="14">
        <v>3</v>
      </c>
      <c r="AF24" s="14">
        <v>3</v>
      </c>
      <c r="AG24" s="15">
        <v>1</v>
      </c>
      <c r="AH24" s="15">
        <v>7</v>
      </c>
      <c r="AI24" s="14">
        <v>3</v>
      </c>
      <c r="AJ24" s="14">
        <v>3</v>
      </c>
      <c r="AK24" s="14">
        <v>3</v>
      </c>
      <c r="AL24" s="15">
        <v>4</v>
      </c>
      <c r="AM24" s="15">
        <v>2</v>
      </c>
      <c r="AN24" s="14">
        <v>6</v>
      </c>
      <c r="AO24" s="15">
        <v>2</v>
      </c>
      <c r="AP24" s="15">
        <v>2</v>
      </c>
      <c r="AQ24" s="35">
        <v>2</v>
      </c>
      <c r="AR24" s="15">
        <v>1</v>
      </c>
      <c r="AS24" s="15">
        <v>1</v>
      </c>
      <c r="AT24" s="15" t="s">
        <v>341</v>
      </c>
      <c r="AU24" s="15" t="s">
        <v>342</v>
      </c>
      <c r="AV24" s="33"/>
      <c r="AW24" s="14">
        <v>72</v>
      </c>
      <c r="AX24" s="15">
        <v>4</v>
      </c>
      <c r="AY24" s="15" t="s">
        <v>155</v>
      </c>
      <c r="AZ24" s="15" t="s">
        <v>155</v>
      </c>
      <c r="BA24" s="15">
        <v>4</v>
      </c>
      <c r="BB24" s="14">
        <v>3</v>
      </c>
      <c r="BC24" s="14">
        <v>3</v>
      </c>
      <c r="BD24" s="15">
        <v>4</v>
      </c>
      <c r="BE24" s="15">
        <v>4</v>
      </c>
      <c r="BF24" s="15">
        <v>4</v>
      </c>
      <c r="BG24" s="14">
        <v>2</v>
      </c>
      <c r="BH24" s="15">
        <v>7</v>
      </c>
      <c r="BI24" s="14">
        <v>3</v>
      </c>
      <c r="BJ24" s="14">
        <v>2</v>
      </c>
      <c r="BK24" s="14">
        <v>3</v>
      </c>
      <c r="BL24" s="15">
        <v>4</v>
      </c>
      <c r="BM24" s="15">
        <v>4</v>
      </c>
      <c r="BN24" s="14">
        <v>5</v>
      </c>
      <c r="BO24" s="14">
        <v>6</v>
      </c>
      <c r="BP24" s="14">
        <v>5</v>
      </c>
      <c r="BQ24" s="35">
        <v>3</v>
      </c>
      <c r="BR24" s="15">
        <v>1</v>
      </c>
      <c r="BS24" s="15">
        <v>1</v>
      </c>
      <c r="BT24" s="15" t="s">
        <v>343</v>
      </c>
      <c r="BU24" s="15" t="s">
        <v>344</v>
      </c>
    </row>
    <row r="25" spans="1:73">
      <c r="A25" s="33"/>
      <c r="B25">
        <v>60</v>
      </c>
      <c r="C25" t="s">
        <v>345</v>
      </c>
      <c r="D25" s="36">
        <v>34</v>
      </c>
      <c r="E25" s="36">
        <v>22</v>
      </c>
      <c r="F25" t="s">
        <v>70</v>
      </c>
      <c r="G25" t="s">
        <v>88</v>
      </c>
      <c r="H25" t="s">
        <v>89</v>
      </c>
      <c r="I25" t="s">
        <v>102</v>
      </c>
      <c r="J25" t="s">
        <v>103</v>
      </c>
      <c r="K25" s="37" t="s">
        <v>346</v>
      </c>
      <c r="L25" t="s">
        <v>92</v>
      </c>
      <c r="M25" t="s">
        <v>79</v>
      </c>
      <c r="N25" t="s">
        <v>79</v>
      </c>
      <c r="O25" t="s">
        <v>77</v>
      </c>
      <c r="P25" t="s">
        <v>77</v>
      </c>
      <c r="Q25" t="s">
        <v>77</v>
      </c>
      <c r="R25" t="s">
        <v>77</v>
      </c>
      <c r="S25" t="s">
        <v>79</v>
      </c>
      <c r="T25" t="s">
        <v>77</v>
      </c>
      <c r="U25" s="34"/>
      <c r="V25" s="15" t="s">
        <v>133</v>
      </c>
      <c r="W25" s="14">
        <v>127</v>
      </c>
      <c r="X25" s="14">
        <v>6</v>
      </c>
      <c r="Y25" s="14">
        <v>5</v>
      </c>
      <c r="Z25" s="14">
        <v>6</v>
      </c>
      <c r="AA25" s="14">
        <v>6</v>
      </c>
      <c r="AB25" s="14">
        <v>6</v>
      </c>
      <c r="AC25" s="14">
        <v>6</v>
      </c>
      <c r="AD25" s="14">
        <v>6</v>
      </c>
      <c r="AE25" s="15">
        <v>4</v>
      </c>
      <c r="AF25" s="14">
        <v>6</v>
      </c>
      <c r="AG25" s="14">
        <v>6</v>
      </c>
      <c r="AH25" s="14">
        <v>6</v>
      </c>
      <c r="AI25" s="14">
        <v>6</v>
      </c>
      <c r="AJ25" s="14">
        <v>6</v>
      </c>
      <c r="AK25" s="14">
        <v>5</v>
      </c>
      <c r="AL25" s="14">
        <v>6</v>
      </c>
      <c r="AM25" s="14">
        <v>6</v>
      </c>
      <c r="AN25" s="14">
        <v>6</v>
      </c>
      <c r="AO25" s="14">
        <v>6</v>
      </c>
      <c r="AP25" s="14">
        <v>6</v>
      </c>
      <c r="AQ25" s="35">
        <v>6</v>
      </c>
      <c r="AR25" s="14">
        <v>6</v>
      </c>
      <c r="AS25" s="14">
        <v>5</v>
      </c>
      <c r="AT25" s="15" t="s">
        <v>135</v>
      </c>
      <c r="AU25" s="15" t="s">
        <v>347</v>
      </c>
      <c r="AV25" s="33"/>
      <c r="AW25" s="14">
        <v>120</v>
      </c>
      <c r="AX25" s="14">
        <v>5</v>
      </c>
      <c r="AY25" s="14">
        <v>5</v>
      </c>
      <c r="AZ25" s="14">
        <v>5</v>
      </c>
      <c r="BA25" s="14">
        <v>6</v>
      </c>
      <c r="BB25" s="14">
        <v>6</v>
      </c>
      <c r="BC25" s="14">
        <v>5</v>
      </c>
      <c r="BD25" s="14">
        <v>6</v>
      </c>
      <c r="BE25" s="14">
        <v>6</v>
      </c>
      <c r="BF25" s="14">
        <v>5</v>
      </c>
      <c r="BG25" s="14">
        <v>6</v>
      </c>
      <c r="BH25" s="14">
        <v>6</v>
      </c>
      <c r="BI25" s="15">
        <v>4</v>
      </c>
      <c r="BJ25" s="14">
        <v>6</v>
      </c>
      <c r="BK25" s="14">
        <v>6</v>
      </c>
      <c r="BL25" s="14">
        <v>6</v>
      </c>
      <c r="BM25" s="15">
        <v>4</v>
      </c>
      <c r="BN25" s="14">
        <v>5</v>
      </c>
      <c r="BO25" s="14">
        <v>6</v>
      </c>
      <c r="BP25" s="14">
        <v>6</v>
      </c>
      <c r="BQ25" s="35">
        <v>6</v>
      </c>
      <c r="BR25" s="14">
        <v>5</v>
      </c>
      <c r="BS25" s="14">
        <v>5</v>
      </c>
      <c r="BT25" s="15" t="s">
        <v>221</v>
      </c>
      <c r="BU25" s="15" t="s">
        <v>99</v>
      </c>
    </row>
    <row r="26" spans="1:73">
      <c r="A26" s="33"/>
      <c r="B26" s="3">
        <v>61</v>
      </c>
      <c r="C26" s="15" t="s">
        <v>348</v>
      </c>
      <c r="D26" s="14">
        <v>37</v>
      </c>
      <c r="E26" s="14">
        <v>23</v>
      </c>
      <c r="F26" s="15" t="s">
        <v>70</v>
      </c>
      <c r="G26" s="15" t="s">
        <v>88</v>
      </c>
      <c r="H26" s="15" t="s">
        <v>89</v>
      </c>
      <c r="I26" s="15" t="s">
        <v>90</v>
      </c>
      <c r="J26" s="15" t="s">
        <v>103</v>
      </c>
      <c r="K26" s="15" t="s">
        <v>104</v>
      </c>
      <c r="L26" s="15" t="s">
        <v>92</v>
      </c>
      <c r="M26" s="15" t="s">
        <v>78</v>
      </c>
      <c r="N26" s="15" t="s">
        <v>79</v>
      </c>
      <c r="O26" s="15" t="s">
        <v>78</v>
      </c>
      <c r="P26" s="15" t="s">
        <v>78</v>
      </c>
      <c r="Q26" s="15" t="s">
        <v>79</v>
      </c>
      <c r="R26" s="15" t="s">
        <v>77</v>
      </c>
      <c r="S26" s="15" t="s">
        <v>93</v>
      </c>
      <c r="T26" s="15" t="s">
        <v>78</v>
      </c>
      <c r="U26" s="34"/>
      <c r="V26" s="15" t="s">
        <v>349</v>
      </c>
      <c r="W26" s="14">
        <v>96</v>
      </c>
      <c r="X26" s="14">
        <v>3</v>
      </c>
      <c r="Y26" s="15">
        <v>4</v>
      </c>
      <c r="Z26" s="15" t="s">
        <v>155</v>
      </c>
      <c r="AA26" s="14">
        <v>5</v>
      </c>
      <c r="AB26" s="15">
        <v>7</v>
      </c>
      <c r="AC26" s="14">
        <v>6</v>
      </c>
      <c r="AD26" s="14">
        <v>6</v>
      </c>
      <c r="AE26" s="15">
        <v>4</v>
      </c>
      <c r="AF26" s="14">
        <v>3</v>
      </c>
      <c r="AG26" s="15">
        <v>1</v>
      </c>
      <c r="AH26" s="14">
        <v>5</v>
      </c>
      <c r="AI26" s="15">
        <v>7</v>
      </c>
      <c r="AJ26" s="15">
        <v>7</v>
      </c>
      <c r="AK26" s="15">
        <v>7</v>
      </c>
      <c r="AL26" s="14">
        <v>5</v>
      </c>
      <c r="AM26" s="15">
        <v>1</v>
      </c>
      <c r="AN26" s="15">
        <v>4</v>
      </c>
      <c r="AO26" s="15">
        <v>7</v>
      </c>
      <c r="AP26" s="14">
        <v>6</v>
      </c>
      <c r="AQ26" s="32">
        <v>4</v>
      </c>
      <c r="AR26" s="14">
        <v>2</v>
      </c>
      <c r="AS26" s="14">
        <v>2</v>
      </c>
      <c r="AT26" s="15" t="s">
        <v>309</v>
      </c>
      <c r="AU26" s="15" t="s">
        <v>99</v>
      </c>
      <c r="AV26" s="33"/>
      <c r="AW26" s="14">
        <v>117</v>
      </c>
      <c r="AX26" s="15">
        <v>7</v>
      </c>
      <c r="AY26" s="15" t="s">
        <v>155</v>
      </c>
      <c r="AZ26" s="15" t="s">
        <v>155</v>
      </c>
      <c r="BA26" s="15">
        <v>7</v>
      </c>
      <c r="BB26" s="15">
        <v>7</v>
      </c>
      <c r="BC26" s="14">
        <v>6</v>
      </c>
      <c r="BD26" s="14">
        <v>6</v>
      </c>
      <c r="BE26" s="15">
        <v>4</v>
      </c>
      <c r="BF26" s="14">
        <v>6</v>
      </c>
      <c r="BG26" s="14">
        <v>6</v>
      </c>
      <c r="BH26" s="14">
        <v>6</v>
      </c>
      <c r="BI26" s="14">
        <v>6</v>
      </c>
      <c r="BJ26" s="14">
        <v>6</v>
      </c>
      <c r="BK26" s="14">
        <v>6</v>
      </c>
      <c r="BL26" s="14">
        <v>6</v>
      </c>
      <c r="BM26" s="14">
        <v>5</v>
      </c>
      <c r="BN26" s="14">
        <v>5</v>
      </c>
      <c r="BO26" s="14">
        <v>6</v>
      </c>
      <c r="BP26" s="14">
        <v>6</v>
      </c>
      <c r="BQ26" s="35">
        <v>6</v>
      </c>
      <c r="BR26" s="14">
        <v>5</v>
      </c>
      <c r="BS26" s="14">
        <v>5</v>
      </c>
      <c r="BT26" s="15" t="s">
        <v>135</v>
      </c>
      <c r="BU26" s="15" t="s">
        <v>350</v>
      </c>
    </row>
    <row r="27" spans="1:73">
      <c r="A27" s="33"/>
      <c r="B27">
        <v>62</v>
      </c>
      <c r="C27" t="s">
        <v>351</v>
      </c>
      <c r="D27" s="36">
        <v>26</v>
      </c>
      <c r="E27" s="36">
        <v>24</v>
      </c>
      <c r="F27" t="s">
        <v>70</v>
      </c>
      <c r="G27" t="s">
        <v>152</v>
      </c>
      <c r="H27" t="s">
        <v>72</v>
      </c>
      <c r="I27" t="s">
        <v>90</v>
      </c>
      <c r="J27" t="s">
        <v>74</v>
      </c>
      <c r="K27" t="s">
        <v>153</v>
      </c>
      <c r="L27" t="s">
        <v>92</v>
      </c>
      <c r="M27" t="s">
        <v>77</v>
      </c>
      <c r="N27" t="s">
        <v>80</v>
      </c>
      <c r="O27" t="s">
        <v>78</v>
      </c>
      <c r="P27" t="s">
        <v>93</v>
      </c>
      <c r="Q27" t="s">
        <v>93</v>
      </c>
      <c r="R27" t="s">
        <v>77</v>
      </c>
      <c r="S27" t="s">
        <v>80</v>
      </c>
      <c r="T27" t="s">
        <v>79</v>
      </c>
      <c r="U27" s="34"/>
      <c r="V27" s="15" t="s">
        <v>352</v>
      </c>
      <c r="W27" s="14">
        <v>124</v>
      </c>
      <c r="X27" s="14">
        <v>5</v>
      </c>
      <c r="Y27" s="14">
        <v>6</v>
      </c>
      <c r="Z27" s="14">
        <v>6</v>
      </c>
      <c r="AA27" s="14">
        <v>6</v>
      </c>
      <c r="AB27" s="14">
        <v>6</v>
      </c>
      <c r="AC27" s="14">
        <v>5</v>
      </c>
      <c r="AD27" s="15">
        <v>7</v>
      </c>
      <c r="AE27" s="14">
        <v>6</v>
      </c>
      <c r="AF27" s="15">
        <v>7</v>
      </c>
      <c r="AG27" s="14">
        <v>6</v>
      </c>
      <c r="AH27" s="14">
        <v>5</v>
      </c>
      <c r="AI27" s="14">
        <v>6</v>
      </c>
      <c r="AJ27" s="14">
        <v>5</v>
      </c>
      <c r="AK27" s="14">
        <v>6</v>
      </c>
      <c r="AL27" s="14">
        <v>6</v>
      </c>
      <c r="AM27" s="15">
        <v>4</v>
      </c>
      <c r="AN27" s="14">
        <v>5</v>
      </c>
      <c r="AO27" s="14">
        <v>6</v>
      </c>
      <c r="AP27" s="14">
        <v>5</v>
      </c>
      <c r="AQ27" s="35">
        <v>5</v>
      </c>
      <c r="AR27" s="14">
        <v>6</v>
      </c>
      <c r="AS27" s="14">
        <v>5</v>
      </c>
      <c r="AT27" s="15" t="s">
        <v>120</v>
      </c>
      <c r="AU27" s="15" t="s">
        <v>99</v>
      </c>
      <c r="AV27" s="33"/>
      <c r="AW27" s="14">
        <v>104</v>
      </c>
      <c r="AX27" s="14">
        <v>3</v>
      </c>
      <c r="AY27" s="14">
        <v>5</v>
      </c>
      <c r="AZ27" s="14">
        <v>5</v>
      </c>
      <c r="BA27" s="15">
        <v>4</v>
      </c>
      <c r="BB27" s="14">
        <v>3</v>
      </c>
      <c r="BC27" s="14">
        <v>3</v>
      </c>
      <c r="BD27" s="14">
        <v>5</v>
      </c>
      <c r="BE27" s="14">
        <v>2</v>
      </c>
      <c r="BF27" s="14">
        <v>5</v>
      </c>
      <c r="BG27" s="14">
        <v>5</v>
      </c>
      <c r="BH27" s="14">
        <v>6</v>
      </c>
      <c r="BI27" s="14">
        <v>6</v>
      </c>
      <c r="BJ27" s="15">
        <v>7</v>
      </c>
      <c r="BK27" s="15">
        <v>4</v>
      </c>
      <c r="BL27" s="14">
        <v>6</v>
      </c>
      <c r="BM27" s="15">
        <v>7</v>
      </c>
      <c r="BN27" s="15">
        <v>4</v>
      </c>
      <c r="BO27" s="15">
        <v>4</v>
      </c>
      <c r="BP27" s="14">
        <v>6</v>
      </c>
      <c r="BQ27" s="35">
        <v>5</v>
      </c>
      <c r="BR27" s="14">
        <v>5</v>
      </c>
      <c r="BS27" s="15">
        <v>4</v>
      </c>
      <c r="BT27" s="15" t="s">
        <v>141</v>
      </c>
      <c r="BU27" s="15" t="s">
        <v>353</v>
      </c>
    </row>
    <row r="28" spans="1:73">
      <c r="A28" s="33"/>
      <c r="B28">
        <v>63</v>
      </c>
      <c r="C28" t="s">
        <v>238</v>
      </c>
      <c r="D28" s="36">
        <v>37</v>
      </c>
      <c r="E28" s="36">
        <v>19</v>
      </c>
      <c r="F28" t="s">
        <v>70</v>
      </c>
      <c r="G28" t="s">
        <v>71</v>
      </c>
      <c r="H28" t="s">
        <v>72</v>
      </c>
      <c r="I28" t="s">
        <v>90</v>
      </c>
      <c r="J28" t="s">
        <v>74</v>
      </c>
      <c r="K28" t="s">
        <v>91</v>
      </c>
      <c r="L28" t="s">
        <v>92</v>
      </c>
      <c r="M28" t="s">
        <v>93</v>
      </c>
      <c r="N28" t="s">
        <v>78</v>
      </c>
      <c r="O28" t="s">
        <v>78</v>
      </c>
      <c r="P28" t="s">
        <v>78</v>
      </c>
      <c r="Q28" t="s">
        <v>78</v>
      </c>
      <c r="R28" t="s">
        <v>78</v>
      </c>
      <c r="S28" t="s">
        <v>93</v>
      </c>
      <c r="T28" t="s">
        <v>77</v>
      </c>
      <c r="U28" s="34"/>
      <c r="V28" s="15" t="s">
        <v>354</v>
      </c>
      <c r="W28" s="14">
        <v>136</v>
      </c>
      <c r="X28" s="14">
        <v>5</v>
      </c>
      <c r="Y28" s="14">
        <v>6</v>
      </c>
      <c r="Z28" s="14">
        <v>6</v>
      </c>
      <c r="AA28" s="15">
        <v>7</v>
      </c>
      <c r="AB28" s="14">
        <v>6</v>
      </c>
      <c r="AC28" s="15">
        <v>7</v>
      </c>
      <c r="AD28" s="15">
        <v>7</v>
      </c>
      <c r="AE28" s="14">
        <v>6</v>
      </c>
      <c r="AF28" s="14">
        <v>5</v>
      </c>
      <c r="AG28" s="15">
        <v>7</v>
      </c>
      <c r="AH28" s="14">
        <v>5</v>
      </c>
      <c r="AI28" s="15">
        <v>7</v>
      </c>
      <c r="AJ28" s="14">
        <v>5</v>
      </c>
      <c r="AK28" s="14">
        <v>6</v>
      </c>
      <c r="AL28" s="15">
        <v>7</v>
      </c>
      <c r="AM28" s="14">
        <v>6</v>
      </c>
      <c r="AN28" s="14">
        <v>6</v>
      </c>
      <c r="AO28" s="15">
        <v>7</v>
      </c>
      <c r="AP28" s="14">
        <v>6</v>
      </c>
      <c r="AQ28" s="35">
        <v>6</v>
      </c>
      <c r="AR28" s="15">
        <v>7</v>
      </c>
      <c r="AS28" s="14">
        <v>6</v>
      </c>
      <c r="AT28" s="15" t="s">
        <v>309</v>
      </c>
      <c r="AU28" s="15" t="s">
        <v>99</v>
      </c>
      <c r="AV28" s="33"/>
      <c r="AW28" s="14">
        <v>132</v>
      </c>
      <c r="AX28" s="14">
        <v>5</v>
      </c>
      <c r="AY28" s="14">
        <v>6</v>
      </c>
      <c r="AZ28" s="14">
        <v>6</v>
      </c>
      <c r="BA28" s="15">
        <v>7</v>
      </c>
      <c r="BB28" s="14">
        <v>6</v>
      </c>
      <c r="BC28" s="14">
        <v>5</v>
      </c>
      <c r="BD28" s="14">
        <v>6</v>
      </c>
      <c r="BE28" s="15">
        <v>7</v>
      </c>
      <c r="BF28" s="14">
        <v>6</v>
      </c>
      <c r="BG28" s="15">
        <v>6</v>
      </c>
      <c r="BH28" s="14">
        <v>6</v>
      </c>
      <c r="BI28" s="15">
        <v>7</v>
      </c>
      <c r="BJ28" s="14">
        <v>5</v>
      </c>
      <c r="BK28" s="14">
        <v>6</v>
      </c>
      <c r="BL28" s="15">
        <v>7</v>
      </c>
      <c r="BM28" s="14">
        <v>6</v>
      </c>
      <c r="BN28" s="15">
        <v>7</v>
      </c>
      <c r="BO28" s="15">
        <v>7</v>
      </c>
      <c r="BP28" s="15">
        <v>7</v>
      </c>
      <c r="BQ28" s="32">
        <v>7</v>
      </c>
      <c r="BR28" s="15">
        <v>7</v>
      </c>
      <c r="BS28" s="14">
        <v>6</v>
      </c>
      <c r="BT28" s="15" t="s">
        <v>141</v>
      </c>
      <c r="BU28" s="15" t="s">
        <v>99</v>
      </c>
    </row>
    <row r="29" spans="1:73">
      <c r="A29" s="33"/>
      <c r="B29">
        <v>64</v>
      </c>
      <c r="C29" t="s">
        <v>355</v>
      </c>
      <c r="D29" s="36">
        <v>31</v>
      </c>
      <c r="E29" s="36">
        <v>20</v>
      </c>
      <c r="F29" t="s">
        <v>87</v>
      </c>
      <c r="G29" t="s">
        <v>71</v>
      </c>
      <c r="H29" t="s">
        <v>89</v>
      </c>
      <c r="I29" t="s">
        <v>90</v>
      </c>
      <c r="J29" t="s">
        <v>74</v>
      </c>
      <c r="K29" t="s">
        <v>91</v>
      </c>
      <c r="L29" t="s">
        <v>125</v>
      </c>
      <c r="M29" t="s">
        <v>77</v>
      </c>
      <c r="N29" t="s">
        <v>79</v>
      </c>
      <c r="O29" t="s">
        <v>77</v>
      </c>
      <c r="P29" t="s">
        <v>77</v>
      </c>
      <c r="Q29" t="s">
        <v>77</v>
      </c>
      <c r="R29" t="s">
        <v>77</v>
      </c>
      <c r="S29" t="s">
        <v>93</v>
      </c>
      <c r="T29" t="s">
        <v>93</v>
      </c>
      <c r="U29" s="34"/>
      <c r="V29" s="15" t="s">
        <v>356</v>
      </c>
      <c r="W29" s="14">
        <v>127</v>
      </c>
      <c r="X29" s="15">
        <v>4</v>
      </c>
      <c r="Y29" s="14">
        <v>6</v>
      </c>
      <c r="Z29" s="14">
        <v>6</v>
      </c>
      <c r="AA29" s="14">
        <v>6</v>
      </c>
      <c r="AB29" s="14">
        <v>5</v>
      </c>
      <c r="AC29" s="14">
        <v>5</v>
      </c>
      <c r="AD29" s="14">
        <v>5</v>
      </c>
      <c r="AE29" s="14">
        <v>6</v>
      </c>
      <c r="AF29" s="14">
        <v>6</v>
      </c>
      <c r="AG29" s="15">
        <v>4</v>
      </c>
      <c r="AH29" s="14">
        <v>6</v>
      </c>
      <c r="AI29" s="15">
        <v>7</v>
      </c>
      <c r="AJ29" s="14">
        <v>6</v>
      </c>
      <c r="AK29" s="15">
        <v>7</v>
      </c>
      <c r="AL29" s="15">
        <v>7</v>
      </c>
      <c r="AM29" s="15">
        <v>7</v>
      </c>
      <c r="AN29" s="14">
        <v>6</v>
      </c>
      <c r="AO29" s="14">
        <v>6</v>
      </c>
      <c r="AP29" s="14">
        <v>6</v>
      </c>
      <c r="AQ29" s="35">
        <v>6</v>
      </c>
      <c r="AR29" s="14">
        <v>5</v>
      </c>
      <c r="AS29" s="14">
        <v>5</v>
      </c>
      <c r="AT29" s="15" t="s">
        <v>135</v>
      </c>
      <c r="AU29" s="15" t="s">
        <v>99</v>
      </c>
      <c r="AV29" s="33"/>
      <c r="AW29" s="14">
        <v>126</v>
      </c>
      <c r="AX29" s="14">
        <v>6</v>
      </c>
      <c r="AY29" s="15" t="s">
        <v>155</v>
      </c>
      <c r="AZ29" s="15" t="s">
        <v>155</v>
      </c>
      <c r="BA29" s="14">
        <v>6</v>
      </c>
      <c r="BB29" s="15">
        <v>7</v>
      </c>
      <c r="BC29" s="14">
        <v>6</v>
      </c>
      <c r="BD29" s="14">
        <v>6</v>
      </c>
      <c r="BE29" s="15">
        <v>7</v>
      </c>
      <c r="BF29" s="14">
        <v>6</v>
      </c>
      <c r="BG29" s="15">
        <v>7</v>
      </c>
      <c r="BH29" s="14">
        <v>6</v>
      </c>
      <c r="BI29" s="15">
        <v>7</v>
      </c>
      <c r="BJ29" s="14">
        <v>6</v>
      </c>
      <c r="BK29" s="14">
        <v>6</v>
      </c>
      <c r="BL29" s="14">
        <v>6</v>
      </c>
      <c r="BM29" s="14">
        <v>6</v>
      </c>
      <c r="BN29" s="15">
        <v>7</v>
      </c>
      <c r="BO29" s="14">
        <v>6</v>
      </c>
      <c r="BP29" s="15">
        <v>7</v>
      </c>
      <c r="BQ29" s="35">
        <v>6</v>
      </c>
      <c r="BR29" s="14">
        <v>6</v>
      </c>
      <c r="BS29" s="14">
        <v>6</v>
      </c>
      <c r="BT29" s="15" t="s">
        <v>96</v>
      </c>
      <c r="BU29" s="15" t="s">
        <v>99</v>
      </c>
    </row>
    <row r="30" spans="1:73">
      <c r="A30" s="33"/>
      <c r="B30" s="3">
        <v>65</v>
      </c>
      <c r="C30" t="s">
        <v>291</v>
      </c>
      <c r="D30" s="36">
        <v>29</v>
      </c>
      <c r="E30" s="36">
        <v>20</v>
      </c>
      <c r="F30" t="s">
        <v>87</v>
      </c>
      <c r="G30" t="s">
        <v>71</v>
      </c>
      <c r="H30" t="s">
        <v>101</v>
      </c>
      <c r="I30" t="s">
        <v>102</v>
      </c>
      <c r="J30" t="s">
        <v>74</v>
      </c>
      <c r="K30" t="s">
        <v>357</v>
      </c>
      <c r="L30" t="s">
        <v>92</v>
      </c>
      <c r="M30" t="s">
        <v>77</v>
      </c>
      <c r="N30" t="s">
        <v>79</v>
      </c>
      <c r="O30" t="s">
        <v>78</v>
      </c>
      <c r="P30" t="s">
        <v>78</v>
      </c>
      <c r="Q30" t="s">
        <v>93</v>
      </c>
      <c r="R30" t="s">
        <v>93</v>
      </c>
      <c r="S30" t="s">
        <v>80</v>
      </c>
      <c r="T30" t="s">
        <v>79</v>
      </c>
      <c r="U30" s="34"/>
      <c r="V30" s="15" t="s">
        <v>358</v>
      </c>
      <c r="W30" s="14">
        <v>107</v>
      </c>
      <c r="X30" s="14">
        <v>5</v>
      </c>
      <c r="Y30" s="15">
        <v>7</v>
      </c>
      <c r="Z30" s="15">
        <v>7</v>
      </c>
      <c r="AA30" s="14">
        <v>5</v>
      </c>
      <c r="AB30" s="14">
        <v>5</v>
      </c>
      <c r="AC30" s="14">
        <v>6</v>
      </c>
      <c r="AD30" s="14">
        <v>6</v>
      </c>
      <c r="AE30" s="15">
        <v>4</v>
      </c>
      <c r="AF30" s="14">
        <v>5</v>
      </c>
      <c r="AG30" s="14">
        <v>5</v>
      </c>
      <c r="AH30" s="14">
        <v>5</v>
      </c>
      <c r="AI30" s="14">
        <v>6</v>
      </c>
      <c r="AJ30" s="14">
        <v>6</v>
      </c>
      <c r="AK30" s="14">
        <v>2</v>
      </c>
      <c r="AL30" s="14">
        <v>5</v>
      </c>
      <c r="AM30" s="15">
        <v>4</v>
      </c>
      <c r="AN30" s="14">
        <v>3</v>
      </c>
      <c r="AO30" s="14">
        <v>3</v>
      </c>
      <c r="AP30" s="15">
        <v>1</v>
      </c>
      <c r="AQ30" s="35">
        <v>5</v>
      </c>
      <c r="AR30" s="14">
        <v>6</v>
      </c>
      <c r="AS30" s="14">
        <v>6</v>
      </c>
      <c r="AT30" s="15" t="s">
        <v>359</v>
      </c>
      <c r="AU30" s="15" t="s">
        <v>360</v>
      </c>
      <c r="AV30" s="33"/>
      <c r="AW30" s="14">
        <v>122</v>
      </c>
      <c r="AX30" s="14">
        <v>6</v>
      </c>
      <c r="AY30" s="14">
        <v>5</v>
      </c>
      <c r="AZ30" s="15">
        <v>7</v>
      </c>
      <c r="BA30" s="14">
        <v>6</v>
      </c>
      <c r="BB30" s="14">
        <v>5</v>
      </c>
      <c r="BC30" s="14">
        <v>6</v>
      </c>
      <c r="BD30" s="14">
        <v>6</v>
      </c>
      <c r="BE30" s="15">
        <v>4</v>
      </c>
      <c r="BF30" s="14">
        <v>5</v>
      </c>
      <c r="BG30" s="15">
        <v>4</v>
      </c>
      <c r="BH30" s="14">
        <v>5</v>
      </c>
      <c r="BI30" s="14">
        <v>6</v>
      </c>
      <c r="BJ30" s="14">
        <v>6</v>
      </c>
      <c r="BK30" s="14">
        <v>6</v>
      </c>
      <c r="BL30" s="14">
        <v>6</v>
      </c>
      <c r="BM30" s="14">
        <v>5</v>
      </c>
      <c r="BN30" s="14">
        <v>5</v>
      </c>
      <c r="BO30" s="14">
        <v>6</v>
      </c>
      <c r="BP30" s="14">
        <v>5</v>
      </c>
      <c r="BQ30" s="35">
        <v>6</v>
      </c>
      <c r="BR30" s="14">
        <v>6</v>
      </c>
      <c r="BS30" s="14">
        <v>6</v>
      </c>
      <c r="BT30" s="15" t="s">
        <v>302</v>
      </c>
      <c r="BU30" s="15" t="s">
        <v>361</v>
      </c>
    </row>
    <row r="31" spans="1:73">
      <c r="A31" s="33"/>
      <c r="B31">
        <v>66</v>
      </c>
      <c r="C31" t="s">
        <v>301</v>
      </c>
      <c r="D31" s="36">
        <v>35</v>
      </c>
      <c r="E31" s="36">
        <v>22</v>
      </c>
      <c r="F31" t="s">
        <v>87</v>
      </c>
      <c r="G31" t="s">
        <v>71</v>
      </c>
      <c r="H31" t="s">
        <v>139</v>
      </c>
      <c r="I31" t="s">
        <v>73</v>
      </c>
      <c r="J31" t="s">
        <v>103</v>
      </c>
      <c r="K31" s="37" t="s">
        <v>362</v>
      </c>
      <c r="L31" t="s">
        <v>92</v>
      </c>
      <c r="M31" t="s">
        <v>77</v>
      </c>
      <c r="N31" t="s">
        <v>79</v>
      </c>
      <c r="O31" t="s">
        <v>78</v>
      </c>
      <c r="P31" t="s">
        <v>78</v>
      </c>
      <c r="Q31" t="s">
        <v>79</v>
      </c>
      <c r="R31" t="s">
        <v>77</v>
      </c>
      <c r="S31" t="s">
        <v>93</v>
      </c>
      <c r="T31" t="s">
        <v>77</v>
      </c>
      <c r="U31" s="33"/>
      <c r="V31" t="s">
        <v>349</v>
      </c>
      <c r="W31">
        <v>97</v>
      </c>
      <c r="X31">
        <v>5</v>
      </c>
      <c r="Y31">
        <v>3</v>
      </c>
      <c r="Z31">
        <v>2</v>
      </c>
      <c r="AA31">
        <v>3</v>
      </c>
      <c r="AB31">
        <v>6</v>
      </c>
      <c r="AC31">
        <v>5</v>
      </c>
      <c r="AD31">
        <v>5</v>
      </c>
      <c r="AE31">
        <v>6</v>
      </c>
      <c r="AF31">
        <v>4</v>
      </c>
      <c r="AG31">
        <v>5</v>
      </c>
      <c r="AH31">
        <v>7</v>
      </c>
      <c r="AI31">
        <v>5</v>
      </c>
      <c r="AJ31">
        <v>6</v>
      </c>
      <c r="AK31">
        <v>6</v>
      </c>
      <c r="AL31">
        <v>7</v>
      </c>
      <c r="AM31">
        <v>5</v>
      </c>
      <c r="AN31">
        <v>4</v>
      </c>
      <c r="AO31">
        <v>5</v>
      </c>
      <c r="AP31">
        <v>7</v>
      </c>
      <c r="AQ31" s="27">
        <v>5</v>
      </c>
      <c r="AR31">
        <v>7</v>
      </c>
      <c r="AS31">
        <v>6</v>
      </c>
      <c r="AT31" t="s">
        <v>141</v>
      </c>
      <c r="AU31" s="8" t="s">
        <v>363</v>
      </c>
      <c r="AV31" s="33"/>
      <c r="AW31" s="15">
        <v>148</v>
      </c>
      <c r="AX31" s="15">
        <v>5</v>
      </c>
      <c r="AY31" s="15">
        <v>7</v>
      </c>
      <c r="AZ31" s="15">
        <v>7</v>
      </c>
      <c r="BA31" s="15">
        <v>7</v>
      </c>
      <c r="BB31" s="15">
        <v>7</v>
      </c>
      <c r="BC31" s="15">
        <v>7</v>
      </c>
      <c r="BD31" s="15">
        <v>6</v>
      </c>
      <c r="BE31" s="15">
        <v>7</v>
      </c>
      <c r="BF31" s="15">
        <v>6</v>
      </c>
      <c r="BG31" s="15">
        <v>7</v>
      </c>
      <c r="BH31" s="15">
        <v>7</v>
      </c>
      <c r="BI31" s="15">
        <v>7</v>
      </c>
      <c r="BJ31" s="15">
        <v>7</v>
      </c>
      <c r="BK31" s="15">
        <v>7</v>
      </c>
      <c r="BL31" s="15">
        <v>7</v>
      </c>
      <c r="BM31" s="15">
        <v>7</v>
      </c>
      <c r="BN31" s="15">
        <v>7</v>
      </c>
      <c r="BO31" s="15">
        <v>7</v>
      </c>
      <c r="BP31" s="15">
        <v>6</v>
      </c>
      <c r="BQ31" s="32">
        <v>7</v>
      </c>
      <c r="BR31" s="15">
        <v>7</v>
      </c>
      <c r="BS31" s="15">
        <v>6</v>
      </c>
      <c r="BT31" s="15" t="s">
        <v>273</v>
      </c>
      <c r="BU31" s="15" t="s">
        <v>99</v>
      </c>
    </row>
    <row r="32" spans="1:73">
      <c r="A32" s="33"/>
      <c r="B32">
        <v>67</v>
      </c>
      <c r="C32" t="s">
        <v>364</v>
      </c>
      <c r="D32" s="36">
        <v>30</v>
      </c>
      <c r="E32" s="36">
        <v>19</v>
      </c>
      <c r="F32" t="s">
        <v>70</v>
      </c>
      <c r="G32" t="s">
        <v>71</v>
      </c>
      <c r="H32" t="s">
        <v>101</v>
      </c>
      <c r="I32" t="s">
        <v>102</v>
      </c>
      <c r="J32" t="s">
        <v>74</v>
      </c>
      <c r="K32" t="s">
        <v>91</v>
      </c>
      <c r="L32" t="s">
        <v>92</v>
      </c>
      <c r="M32" t="s">
        <v>77</v>
      </c>
      <c r="N32" t="s">
        <v>77</v>
      </c>
      <c r="O32" t="s">
        <v>78</v>
      </c>
      <c r="P32" t="s">
        <v>78</v>
      </c>
      <c r="Q32" t="s">
        <v>79</v>
      </c>
      <c r="R32" t="s">
        <v>93</v>
      </c>
      <c r="S32" t="s">
        <v>80</v>
      </c>
      <c r="T32" t="s">
        <v>93</v>
      </c>
      <c r="U32" s="34"/>
      <c r="V32" s="15" t="s">
        <v>365</v>
      </c>
      <c r="W32" s="14">
        <v>149</v>
      </c>
      <c r="X32" s="14">
        <v>6</v>
      </c>
      <c r="Y32" s="14">
        <v>6</v>
      </c>
      <c r="Z32" s="15">
        <v>7</v>
      </c>
      <c r="AA32" s="14">
        <v>6</v>
      </c>
      <c r="AB32" s="14">
        <v>6</v>
      </c>
      <c r="AC32" s="14">
        <v>6</v>
      </c>
      <c r="AD32" s="15">
        <v>7</v>
      </c>
      <c r="AE32" s="15">
        <v>7</v>
      </c>
      <c r="AF32" s="15">
        <v>7</v>
      </c>
      <c r="AG32" s="15">
        <v>7</v>
      </c>
      <c r="AH32" s="15">
        <v>7</v>
      </c>
      <c r="AI32" s="15">
        <v>7</v>
      </c>
      <c r="AJ32" s="15">
        <v>7</v>
      </c>
      <c r="AK32" s="15">
        <v>7</v>
      </c>
      <c r="AL32" s="15">
        <v>7</v>
      </c>
      <c r="AM32" s="15">
        <v>7</v>
      </c>
      <c r="AN32" s="15">
        <v>7</v>
      </c>
      <c r="AO32" s="15">
        <v>7</v>
      </c>
      <c r="AP32" s="15">
        <v>7</v>
      </c>
      <c r="AQ32" s="32">
        <v>7</v>
      </c>
      <c r="AR32" s="15">
        <v>7</v>
      </c>
      <c r="AS32" s="15">
        <v>7</v>
      </c>
      <c r="AT32" s="15" t="s">
        <v>108</v>
      </c>
      <c r="AU32" s="15" t="s">
        <v>99</v>
      </c>
      <c r="AV32" s="33"/>
      <c r="AW32" s="14">
        <v>151</v>
      </c>
      <c r="AX32" s="15">
        <v>7</v>
      </c>
      <c r="AY32" s="14">
        <v>6</v>
      </c>
      <c r="AZ32" s="15">
        <v>7</v>
      </c>
      <c r="BA32" s="15">
        <v>7</v>
      </c>
      <c r="BB32" s="15">
        <v>7</v>
      </c>
      <c r="BC32" s="15">
        <v>7</v>
      </c>
      <c r="BD32" s="14">
        <v>6</v>
      </c>
      <c r="BE32" s="15">
        <v>7</v>
      </c>
      <c r="BF32" s="15">
        <v>7</v>
      </c>
      <c r="BG32" s="15">
        <v>7</v>
      </c>
      <c r="BH32" s="15">
        <v>7</v>
      </c>
      <c r="BI32" s="15">
        <v>7</v>
      </c>
      <c r="BJ32" s="15">
        <v>7</v>
      </c>
      <c r="BK32" s="15">
        <v>7</v>
      </c>
      <c r="BL32" s="15">
        <v>7</v>
      </c>
      <c r="BM32" s="14">
        <v>6</v>
      </c>
      <c r="BN32" s="15">
        <v>7</v>
      </c>
      <c r="BO32" s="15">
        <v>7</v>
      </c>
      <c r="BP32" s="15">
        <v>7</v>
      </c>
      <c r="BQ32" s="32">
        <v>7</v>
      </c>
      <c r="BR32" s="15">
        <v>7</v>
      </c>
      <c r="BS32" s="15">
        <v>7</v>
      </c>
      <c r="BT32" s="15" t="s">
        <v>84</v>
      </c>
      <c r="BU32" s="15" t="s">
        <v>99</v>
      </c>
    </row>
    <row r="33" spans="1:73">
      <c r="A33" s="33"/>
      <c r="B33" s="3">
        <v>68</v>
      </c>
      <c r="C33" s="15" t="s">
        <v>81</v>
      </c>
      <c r="D33" s="14">
        <v>32</v>
      </c>
      <c r="E33" s="14">
        <v>23</v>
      </c>
      <c r="F33" s="15" t="s">
        <v>70</v>
      </c>
      <c r="G33" s="15" t="s">
        <v>88</v>
      </c>
      <c r="H33" s="15" t="s">
        <v>101</v>
      </c>
      <c r="I33" s="15" t="s">
        <v>237</v>
      </c>
      <c r="J33" s="15" t="s">
        <v>123</v>
      </c>
      <c r="K33" s="15" t="s">
        <v>366</v>
      </c>
      <c r="L33" s="15" t="s">
        <v>92</v>
      </c>
      <c r="M33" s="15" t="s">
        <v>77</v>
      </c>
      <c r="N33" s="15" t="s">
        <v>77</v>
      </c>
      <c r="O33" s="15" t="s">
        <v>78</v>
      </c>
      <c r="P33" s="15" t="s">
        <v>77</v>
      </c>
      <c r="Q33" s="15" t="s">
        <v>79</v>
      </c>
      <c r="R33" s="15" t="s">
        <v>79</v>
      </c>
      <c r="S33" s="15" t="s">
        <v>93</v>
      </c>
      <c r="T33" s="15" t="s">
        <v>77</v>
      </c>
      <c r="U33" s="34"/>
      <c r="V33" s="15" t="s">
        <v>367</v>
      </c>
      <c r="W33" s="14">
        <v>120</v>
      </c>
      <c r="X33" s="14">
        <v>6</v>
      </c>
      <c r="Y33" s="14">
        <v>5</v>
      </c>
      <c r="Z33" s="15" t="s">
        <v>155</v>
      </c>
      <c r="AA33" s="14">
        <v>6</v>
      </c>
      <c r="AB33" s="15">
        <v>7</v>
      </c>
      <c r="AC33" s="14">
        <v>6</v>
      </c>
      <c r="AD33" s="14">
        <v>6</v>
      </c>
      <c r="AE33" s="14">
        <v>6</v>
      </c>
      <c r="AF33" s="14">
        <v>5</v>
      </c>
      <c r="AG33" s="14">
        <v>6</v>
      </c>
      <c r="AH33" s="14">
        <v>6</v>
      </c>
      <c r="AI33" s="14">
        <v>6</v>
      </c>
      <c r="AJ33" s="14">
        <v>6</v>
      </c>
      <c r="AK33" s="14">
        <v>6</v>
      </c>
      <c r="AL33" s="14">
        <v>5</v>
      </c>
      <c r="AM33" s="14">
        <v>6</v>
      </c>
      <c r="AN33" s="15">
        <v>4</v>
      </c>
      <c r="AO33" s="14">
        <v>5</v>
      </c>
      <c r="AP33" s="14">
        <v>5</v>
      </c>
      <c r="AQ33" s="35">
        <v>6</v>
      </c>
      <c r="AR33" s="14">
        <v>6</v>
      </c>
      <c r="AS33" s="14">
        <v>6</v>
      </c>
      <c r="AT33" s="15" t="s">
        <v>118</v>
      </c>
      <c r="AU33" s="15" t="s">
        <v>368</v>
      </c>
      <c r="AV33" s="33"/>
      <c r="AW33" s="14">
        <v>119</v>
      </c>
      <c r="AX33" s="14">
        <v>6</v>
      </c>
      <c r="AY33" s="15" t="s">
        <v>155</v>
      </c>
      <c r="AZ33" s="15" t="s">
        <v>155</v>
      </c>
      <c r="BA33" s="14">
        <v>5</v>
      </c>
      <c r="BB33" s="14">
        <v>6</v>
      </c>
      <c r="BC33" s="14">
        <v>6</v>
      </c>
      <c r="BD33" s="15">
        <v>7</v>
      </c>
      <c r="BE33" s="14">
        <v>6</v>
      </c>
      <c r="BF33" s="14">
        <v>6</v>
      </c>
      <c r="BG33" s="14">
        <v>6</v>
      </c>
      <c r="BH33" s="14">
        <v>5</v>
      </c>
      <c r="BI33" s="14">
        <v>6</v>
      </c>
      <c r="BJ33" s="14">
        <v>6</v>
      </c>
      <c r="BK33" s="14">
        <v>6</v>
      </c>
      <c r="BL33" s="14">
        <v>6</v>
      </c>
      <c r="BM33" s="14">
        <v>6</v>
      </c>
      <c r="BN33" s="14">
        <v>6</v>
      </c>
      <c r="BO33" s="14">
        <v>6</v>
      </c>
      <c r="BP33" s="14">
        <v>6</v>
      </c>
      <c r="BQ33" s="35">
        <v>6</v>
      </c>
      <c r="BR33" s="14">
        <v>6</v>
      </c>
      <c r="BS33" s="14">
        <v>6</v>
      </c>
      <c r="BT33" s="15" t="s">
        <v>129</v>
      </c>
      <c r="BU33" s="15" t="s">
        <v>99</v>
      </c>
    </row>
    <row r="34" spans="1:73">
      <c r="A34" s="33"/>
      <c r="B34" s="3">
        <v>70</v>
      </c>
      <c r="C34" s="15" t="s">
        <v>198</v>
      </c>
      <c r="D34" s="14">
        <v>34</v>
      </c>
      <c r="E34" s="14">
        <v>28</v>
      </c>
      <c r="F34" s="15" t="s">
        <v>70</v>
      </c>
      <c r="G34" s="15" t="s">
        <v>88</v>
      </c>
      <c r="H34" s="15" t="s">
        <v>101</v>
      </c>
      <c r="I34" s="15" t="s">
        <v>102</v>
      </c>
      <c r="J34" s="15" t="s">
        <v>103</v>
      </c>
      <c r="K34" s="15" t="s">
        <v>131</v>
      </c>
      <c r="L34" s="15" t="s">
        <v>92</v>
      </c>
      <c r="M34" s="15" t="s">
        <v>78</v>
      </c>
      <c r="N34" s="15" t="s">
        <v>77</v>
      </c>
      <c r="O34" s="15" t="s">
        <v>78</v>
      </c>
      <c r="P34" s="15" t="s">
        <v>77</v>
      </c>
      <c r="Q34" s="15" t="s">
        <v>79</v>
      </c>
      <c r="R34" s="15" t="s">
        <v>79</v>
      </c>
      <c r="S34" s="15" t="s">
        <v>93</v>
      </c>
      <c r="T34" s="15" t="s">
        <v>79</v>
      </c>
      <c r="U34" s="34"/>
      <c r="V34" s="15" t="s">
        <v>369</v>
      </c>
      <c r="W34" s="14">
        <v>119</v>
      </c>
      <c r="X34" s="14">
        <v>6</v>
      </c>
      <c r="Y34" s="14">
        <v>5</v>
      </c>
      <c r="Z34" s="14">
        <v>6</v>
      </c>
      <c r="AA34" s="14">
        <v>6</v>
      </c>
      <c r="AB34" s="14">
        <v>5</v>
      </c>
      <c r="AC34" s="15">
        <v>4</v>
      </c>
      <c r="AD34" s="14">
        <v>5</v>
      </c>
      <c r="AE34" s="14">
        <v>5</v>
      </c>
      <c r="AF34" s="15">
        <v>4</v>
      </c>
      <c r="AG34" s="14">
        <v>5</v>
      </c>
      <c r="AH34" s="14">
        <v>5</v>
      </c>
      <c r="AI34" s="14">
        <v>5</v>
      </c>
      <c r="AJ34" s="14">
        <v>5</v>
      </c>
      <c r="AK34" s="14">
        <v>6</v>
      </c>
      <c r="AL34" s="14">
        <v>6</v>
      </c>
      <c r="AM34" s="14">
        <v>6</v>
      </c>
      <c r="AN34" s="14">
        <v>6</v>
      </c>
      <c r="AO34" s="14">
        <v>6</v>
      </c>
      <c r="AP34" s="14">
        <v>5</v>
      </c>
      <c r="AQ34" s="35">
        <v>6</v>
      </c>
      <c r="AR34" s="14">
        <v>6</v>
      </c>
      <c r="AS34" s="14">
        <v>6</v>
      </c>
      <c r="AT34" s="15" t="s">
        <v>222</v>
      </c>
      <c r="AU34" s="15" t="s">
        <v>99</v>
      </c>
      <c r="AV34" s="33"/>
      <c r="AW34" s="14">
        <v>127</v>
      </c>
      <c r="AX34" s="14">
        <v>5</v>
      </c>
      <c r="AY34" s="14">
        <v>6</v>
      </c>
      <c r="AZ34" s="14">
        <v>5</v>
      </c>
      <c r="BA34" s="14">
        <v>6</v>
      </c>
      <c r="BB34" s="14">
        <v>6</v>
      </c>
      <c r="BC34" s="14">
        <v>5</v>
      </c>
      <c r="BD34" s="14">
        <v>6</v>
      </c>
      <c r="BE34" s="14">
        <v>6</v>
      </c>
      <c r="BF34" s="14">
        <v>6</v>
      </c>
      <c r="BG34" s="14">
        <v>6</v>
      </c>
      <c r="BH34" s="14">
        <v>6</v>
      </c>
      <c r="BI34" s="14">
        <v>6</v>
      </c>
      <c r="BJ34" s="14">
        <v>6</v>
      </c>
      <c r="BK34" s="14">
        <v>6</v>
      </c>
      <c r="BL34" s="14">
        <v>6</v>
      </c>
      <c r="BM34" s="14">
        <v>6</v>
      </c>
      <c r="BN34" s="14">
        <v>6</v>
      </c>
      <c r="BO34" s="14">
        <v>6</v>
      </c>
      <c r="BP34" s="14">
        <v>6</v>
      </c>
      <c r="BQ34" s="35">
        <v>6</v>
      </c>
      <c r="BR34" s="14">
        <v>6</v>
      </c>
      <c r="BS34" s="15">
        <v>4</v>
      </c>
      <c r="BT34" s="15" t="s">
        <v>120</v>
      </c>
      <c r="BU34" s="15" t="s">
        <v>99</v>
      </c>
    </row>
    <row r="35" s="3" customFormat="1" spans="1:73">
      <c r="A35" s="33"/>
      <c r="B35">
        <v>71</v>
      </c>
      <c r="C35" t="s">
        <v>370</v>
      </c>
      <c r="D35" s="36">
        <v>31</v>
      </c>
      <c r="E35" s="36">
        <v>20</v>
      </c>
      <c r="F35" t="s">
        <v>70</v>
      </c>
      <c r="G35" t="s">
        <v>71</v>
      </c>
      <c r="H35" t="s">
        <v>72</v>
      </c>
      <c r="I35" t="s">
        <v>102</v>
      </c>
      <c r="J35" t="s">
        <v>74</v>
      </c>
      <c r="K35" t="s">
        <v>91</v>
      </c>
      <c r="L35" t="s">
        <v>125</v>
      </c>
      <c r="M35" t="s">
        <v>77</v>
      </c>
      <c r="N35" t="s">
        <v>77</v>
      </c>
      <c r="O35" t="s">
        <v>77</v>
      </c>
      <c r="P35" t="s">
        <v>77</v>
      </c>
      <c r="Q35" t="s">
        <v>93</v>
      </c>
      <c r="R35" t="s">
        <v>77</v>
      </c>
      <c r="S35" t="s">
        <v>93</v>
      </c>
      <c r="T35" t="s">
        <v>79</v>
      </c>
      <c r="U35" s="34"/>
      <c r="V35" s="15" t="s">
        <v>303</v>
      </c>
      <c r="W35" s="14">
        <v>148</v>
      </c>
      <c r="X35" s="14">
        <v>6</v>
      </c>
      <c r="Y35" s="14">
        <v>6</v>
      </c>
      <c r="Z35" s="14">
        <v>6</v>
      </c>
      <c r="AA35" s="15">
        <v>7</v>
      </c>
      <c r="AB35" s="15">
        <v>7</v>
      </c>
      <c r="AC35" s="15">
        <v>7</v>
      </c>
      <c r="AD35" s="15">
        <v>7</v>
      </c>
      <c r="AE35" s="15">
        <v>7</v>
      </c>
      <c r="AF35" s="15">
        <v>7</v>
      </c>
      <c r="AG35" s="15">
        <v>7</v>
      </c>
      <c r="AH35" s="15">
        <v>7</v>
      </c>
      <c r="AI35" s="15">
        <v>7</v>
      </c>
      <c r="AJ35" s="15">
        <v>7</v>
      </c>
      <c r="AK35" s="15">
        <v>7</v>
      </c>
      <c r="AL35" s="15">
        <v>7</v>
      </c>
      <c r="AM35" s="15">
        <v>7</v>
      </c>
      <c r="AN35" s="15">
        <v>7</v>
      </c>
      <c r="AO35" s="15">
        <v>7</v>
      </c>
      <c r="AP35" s="15">
        <v>7</v>
      </c>
      <c r="AQ35" s="35">
        <v>6</v>
      </c>
      <c r="AR35" s="14">
        <v>6</v>
      </c>
      <c r="AS35" s="14">
        <v>6</v>
      </c>
      <c r="AT35" s="15" t="s">
        <v>157</v>
      </c>
      <c r="AU35" s="15" t="s">
        <v>371</v>
      </c>
      <c r="AV35" s="33"/>
      <c r="AW35" s="14">
        <v>128</v>
      </c>
      <c r="AX35" s="14">
        <v>6</v>
      </c>
      <c r="AY35" s="14">
        <v>6</v>
      </c>
      <c r="AZ35" s="14">
        <v>6</v>
      </c>
      <c r="BA35" s="15">
        <v>7</v>
      </c>
      <c r="BB35" s="15">
        <v>7</v>
      </c>
      <c r="BC35" s="15">
        <v>7</v>
      </c>
      <c r="BD35" s="14">
        <v>6</v>
      </c>
      <c r="BE35" s="14">
        <v>6</v>
      </c>
      <c r="BF35" s="14">
        <v>6</v>
      </c>
      <c r="BG35" s="15">
        <v>3</v>
      </c>
      <c r="BH35" s="15">
        <v>7</v>
      </c>
      <c r="BI35" s="15">
        <v>7</v>
      </c>
      <c r="BJ35" s="15">
        <v>7</v>
      </c>
      <c r="BK35" s="15">
        <v>7</v>
      </c>
      <c r="BL35" s="15">
        <v>7</v>
      </c>
      <c r="BM35" s="14">
        <v>6</v>
      </c>
      <c r="BN35" s="14">
        <v>6</v>
      </c>
      <c r="BO35" s="14">
        <v>6</v>
      </c>
      <c r="BP35" s="14">
        <v>6</v>
      </c>
      <c r="BQ35" s="35">
        <v>6</v>
      </c>
      <c r="BR35" s="14">
        <v>6</v>
      </c>
      <c r="BS35" s="15">
        <v>6</v>
      </c>
      <c r="BT35" s="15" t="s">
        <v>283</v>
      </c>
      <c r="BU35" s="15" t="s">
        <v>372</v>
      </c>
    </row>
    <row r="36" spans="1:73">
      <c r="A36" s="33"/>
      <c r="B36">
        <v>72</v>
      </c>
      <c r="C36" t="s">
        <v>373</v>
      </c>
      <c r="D36" s="36">
        <v>30</v>
      </c>
      <c r="E36" s="36">
        <v>19</v>
      </c>
      <c r="F36" t="s">
        <v>70</v>
      </c>
      <c r="G36" t="s">
        <v>71</v>
      </c>
      <c r="H36" t="s">
        <v>72</v>
      </c>
      <c r="I36" t="s">
        <v>90</v>
      </c>
      <c r="J36" t="s">
        <v>74</v>
      </c>
      <c r="K36" t="s">
        <v>91</v>
      </c>
      <c r="L36" t="s">
        <v>125</v>
      </c>
      <c r="M36" t="s">
        <v>80</v>
      </c>
      <c r="N36" t="s">
        <v>78</v>
      </c>
      <c r="O36" t="s">
        <v>78</v>
      </c>
      <c r="P36" t="s">
        <v>77</v>
      </c>
      <c r="Q36" t="s">
        <v>77</v>
      </c>
      <c r="R36" t="s">
        <v>79</v>
      </c>
      <c r="S36" t="s">
        <v>93</v>
      </c>
      <c r="T36" t="s">
        <v>93</v>
      </c>
      <c r="U36" s="34"/>
      <c r="V36" s="15" t="s">
        <v>355</v>
      </c>
      <c r="W36" s="14">
        <v>99</v>
      </c>
      <c r="X36" s="15">
        <v>4</v>
      </c>
      <c r="Y36" s="14">
        <v>2</v>
      </c>
      <c r="Z36" s="14">
        <v>3</v>
      </c>
      <c r="AA36" s="14">
        <v>6</v>
      </c>
      <c r="AB36" s="14">
        <v>6</v>
      </c>
      <c r="AC36" s="14">
        <v>6</v>
      </c>
      <c r="AD36" s="14">
        <v>6</v>
      </c>
      <c r="AE36" s="14">
        <v>5</v>
      </c>
      <c r="AF36" s="15">
        <v>4</v>
      </c>
      <c r="AG36" s="15">
        <v>4</v>
      </c>
      <c r="AH36" s="14">
        <v>6</v>
      </c>
      <c r="AI36" s="15">
        <v>4</v>
      </c>
      <c r="AJ36" s="14">
        <v>5</v>
      </c>
      <c r="AK36" s="14">
        <v>3</v>
      </c>
      <c r="AL36" s="14">
        <v>6</v>
      </c>
      <c r="AM36" s="14">
        <v>5</v>
      </c>
      <c r="AN36" s="14">
        <v>5</v>
      </c>
      <c r="AO36" s="14">
        <v>5</v>
      </c>
      <c r="AP36" s="14">
        <v>5</v>
      </c>
      <c r="AQ36" s="32">
        <v>4</v>
      </c>
      <c r="AR36" s="14">
        <v>3</v>
      </c>
      <c r="AS36" s="14">
        <v>2</v>
      </c>
      <c r="AT36" s="15" t="s">
        <v>98</v>
      </c>
      <c r="AU36" s="15" t="s">
        <v>166</v>
      </c>
      <c r="AV36" s="33"/>
      <c r="AW36" s="14">
        <v>113</v>
      </c>
      <c r="AX36" s="15">
        <v>7</v>
      </c>
      <c r="AY36" s="14">
        <v>5</v>
      </c>
      <c r="AZ36" s="14">
        <v>5</v>
      </c>
      <c r="BA36" s="14">
        <v>6</v>
      </c>
      <c r="BB36" s="14">
        <v>6</v>
      </c>
      <c r="BC36" s="14">
        <v>6</v>
      </c>
      <c r="BD36" s="14">
        <v>5</v>
      </c>
      <c r="BE36" s="14">
        <v>6</v>
      </c>
      <c r="BF36" s="14">
        <v>6</v>
      </c>
      <c r="BG36" s="14">
        <v>3</v>
      </c>
      <c r="BH36" s="14">
        <v>6</v>
      </c>
      <c r="BI36" s="14">
        <v>6</v>
      </c>
      <c r="BJ36" s="14">
        <v>6</v>
      </c>
      <c r="BK36" s="15">
        <v>4</v>
      </c>
      <c r="BL36" s="14">
        <v>6</v>
      </c>
      <c r="BM36" s="14">
        <v>6</v>
      </c>
      <c r="BN36" s="14">
        <v>6</v>
      </c>
      <c r="BO36" s="15">
        <v>4</v>
      </c>
      <c r="BP36" s="14">
        <v>5</v>
      </c>
      <c r="BQ36" s="32">
        <v>4</v>
      </c>
      <c r="BR36" s="14">
        <v>3</v>
      </c>
      <c r="BS36" s="14">
        <v>2</v>
      </c>
      <c r="BT36" s="15" t="s">
        <v>135</v>
      </c>
      <c r="BU36" s="15" t="s">
        <v>166</v>
      </c>
    </row>
    <row r="37" spans="1:73">
      <c r="A37" s="33"/>
      <c r="B37">
        <v>73</v>
      </c>
      <c r="C37" t="s">
        <v>319</v>
      </c>
      <c r="D37" s="36">
        <v>31</v>
      </c>
      <c r="E37" s="36">
        <v>22</v>
      </c>
      <c r="F37" t="s">
        <v>70</v>
      </c>
      <c r="G37" t="s">
        <v>88</v>
      </c>
      <c r="H37" t="s">
        <v>101</v>
      </c>
      <c r="I37" t="s">
        <v>102</v>
      </c>
      <c r="J37" t="s">
        <v>103</v>
      </c>
      <c r="K37" t="s">
        <v>91</v>
      </c>
      <c r="L37" t="s">
        <v>92</v>
      </c>
      <c r="M37" t="s">
        <v>78</v>
      </c>
      <c r="N37" t="s">
        <v>93</v>
      </c>
      <c r="O37" t="s">
        <v>78</v>
      </c>
      <c r="P37" t="s">
        <v>78</v>
      </c>
      <c r="Q37" t="s">
        <v>80</v>
      </c>
      <c r="R37" t="s">
        <v>93</v>
      </c>
      <c r="S37" t="s">
        <v>80</v>
      </c>
      <c r="T37" t="s">
        <v>78</v>
      </c>
      <c r="U37" s="34"/>
      <c r="V37" s="15" t="s">
        <v>209</v>
      </c>
      <c r="W37" s="14">
        <v>138</v>
      </c>
      <c r="X37" s="14">
        <v>5</v>
      </c>
      <c r="Y37" s="15">
        <v>4</v>
      </c>
      <c r="Z37" s="15">
        <v>4</v>
      </c>
      <c r="AA37" s="15">
        <v>7</v>
      </c>
      <c r="AB37" s="15">
        <v>7</v>
      </c>
      <c r="AC37" s="14">
        <v>6</v>
      </c>
      <c r="AD37" s="15">
        <v>7</v>
      </c>
      <c r="AE37" s="15">
        <v>7</v>
      </c>
      <c r="AF37" s="14">
        <v>6</v>
      </c>
      <c r="AG37" s="15">
        <v>7</v>
      </c>
      <c r="AH37" s="15">
        <v>7</v>
      </c>
      <c r="AI37" s="15">
        <v>7</v>
      </c>
      <c r="AJ37" s="15">
        <v>7</v>
      </c>
      <c r="AK37" s="15">
        <v>7</v>
      </c>
      <c r="AL37" s="14">
        <v>2</v>
      </c>
      <c r="AM37" s="14">
        <v>6</v>
      </c>
      <c r="AN37" s="15">
        <v>7</v>
      </c>
      <c r="AO37" s="15">
        <v>7</v>
      </c>
      <c r="AP37" s="15">
        <v>7</v>
      </c>
      <c r="AQ37" s="32">
        <v>7</v>
      </c>
      <c r="AR37" s="15">
        <v>7</v>
      </c>
      <c r="AS37" s="15">
        <v>7</v>
      </c>
      <c r="AT37" s="15" t="s">
        <v>309</v>
      </c>
      <c r="AU37" s="15" t="s">
        <v>99</v>
      </c>
      <c r="AV37" s="33"/>
      <c r="AW37" s="14">
        <v>132</v>
      </c>
      <c r="AX37" s="15">
        <v>4</v>
      </c>
      <c r="AY37" s="14">
        <v>6</v>
      </c>
      <c r="AZ37" s="15">
        <v>7</v>
      </c>
      <c r="BA37" s="15">
        <v>7</v>
      </c>
      <c r="BB37" s="15">
        <v>7</v>
      </c>
      <c r="BC37" s="14">
        <v>6</v>
      </c>
      <c r="BD37" s="15">
        <v>7</v>
      </c>
      <c r="BE37" s="15">
        <v>7</v>
      </c>
      <c r="BF37" s="14">
        <v>6</v>
      </c>
      <c r="BG37" s="15">
        <v>7</v>
      </c>
      <c r="BH37" s="15">
        <v>7</v>
      </c>
      <c r="BI37" s="15">
        <v>7</v>
      </c>
      <c r="BJ37" s="14">
        <v>6</v>
      </c>
      <c r="BK37" s="15">
        <v>7</v>
      </c>
      <c r="BL37" s="15">
        <v>7</v>
      </c>
      <c r="BM37" s="15">
        <v>7</v>
      </c>
      <c r="BN37" s="14">
        <v>2</v>
      </c>
      <c r="BO37" s="14">
        <v>2</v>
      </c>
      <c r="BP37" s="15">
        <v>4</v>
      </c>
      <c r="BQ37" s="35">
        <v>6</v>
      </c>
      <c r="BR37" s="14">
        <v>6</v>
      </c>
      <c r="BS37" s="15">
        <v>7</v>
      </c>
      <c r="BT37" s="15" t="s">
        <v>98</v>
      </c>
      <c r="BU37" s="15" t="s">
        <v>374</v>
      </c>
    </row>
    <row r="53" spans="2:8">
      <c r="B53" s="40" t="s">
        <v>70</v>
      </c>
      <c r="C53" s="41">
        <f>COUNTIF(F2:F37,"女性")</f>
        <v>21</v>
      </c>
      <c r="G53" s="40" t="s">
        <v>71</v>
      </c>
      <c r="H53" s="42">
        <f>COUNTIF(G2:G37,"本科生")</f>
        <v>17</v>
      </c>
    </row>
    <row r="54" spans="2:8">
      <c r="B54" s="40" t="s">
        <v>87</v>
      </c>
      <c r="C54" s="42">
        <f>COUNTIF(F2:F37,"男性")</f>
        <v>15</v>
      </c>
      <c r="G54" s="40" t="s">
        <v>249</v>
      </c>
      <c r="H54" s="42">
        <f>COUNTIF(G2:G37,"硕士研究生")</f>
        <v>16</v>
      </c>
    </row>
    <row r="55" spans="2:8">
      <c r="G55" s="40" t="s">
        <v>250</v>
      </c>
      <c r="H55" s="42">
        <f>COUNTIF(G2:G37,"博士研究生")</f>
        <v>3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4"/>
  <sheetViews>
    <sheetView workbookViewId="0">
      <selection activeCell="G6" sqref="G6"/>
    </sheetView>
  </sheetViews>
  <sheetFormatPr defaultColWidth="9.02654867256637" defaultRowHeight="12.75" outlineLevelCol="3"/>
  <cols>
    <col min="1" max="1" width="16.0088495575221" customWidth="1"/>
    <col min="2" max="2" width="15.3362831858407" customWidth="1"/>
    <col min="3" max="4" width="9.14159292035398"/>
  </cols>
  <sheetData>
    <row r="1" ht="25.5" spans="1:4">
      <c r="A1" s="25" t="s">
        <v>8</v>
      </c>
      <c r="B1" s="25" t="s">
        <v>9</v>
      </c>
      <c r="C1" t="s">
        <v>255</v>
      </c>
      <c r="D1" t="s">
        <v>256</v>
      </c>
    </row>
    <row r="2" spans="1:4">
      <c r="A2">
        <v>3</v>
      </c>
      <c r="B2">
        <v>4</v>
      </c>
      <c r="C2" s="15">
        <v>3</v>
      </c>
      <c r="D2" s="15">
        <v>4</v>
      </c>
    </row>
    <row r="3" spans="1:4">
      <c r="A3">
        <v>4</v>
      </c>
      <c r="B3">
        <v>4</v>
      </c>
      <c r="C3">
        <v>4</v>
      </c>
      <c r="D3">
        <v>4</v>
      </c>
    </row>
    <row r="4" spans="1:4">
      <c r="A4">
        <v>5</v>
      </c>
      <c r="B4">
        <v>5</v>
      </c>
      <c r="C4">
        <v>5</v>
      </c>
      <c r="D4">
        <v>4</v>
      </c>
    </row>
    <row r="5" spans="1:4">
      <c r="A5">
        <v>4</v>
      </c>
      <c r="B5">
        <v>4</v>
      </c>
      <c r="C5">
        <v>4</v>
      </c>
      <c r="D5">
        <v>3</v>
      </c>
    </row>
    <row r="6" spans="1:4">
      <c r="A6">
        <v>5</v>
      </c>
      <c r="B6">
        <v>5</v>
      </c>
      <c r="C6">
        <v>2</v>
      </c>
      <c r="D6">
        <v>3</v>
      </c>
    </row>
    <row r="7" spans="1:4">
      <c r="A7">
        <v>3</v>
      </c>
      <c r="B7">
        <v>3</v>
      </c>
      <c r="C7" s="15">
        <v>4</v>
      </c>
      <c r="D7" s="15">
        <v>4</v>
      </c>
    </row>
    <row r="8" spans="1:4">
      <c r="A8">
        <v>5</v>
      </c>
      <c r="B8">
        <v>4</v>
      </c>
      <c r="C8">
        <v>4</v>
      </c>
      <c r="D8">
        <v>5</v>
      </c>
    </row>
    <row r="9" spans="1:4">
      <c r="A9" s="3">
        <v>5</v>
      </c>
      <c r="B9" s="3">
        <v>5</v>
      </c>
      <c r="C9">
        <v>5</v>
      </c>
      <c r="D9">
        <v>4</v>
      </c>
    </row>
    <row r="10" spans="1:4">
      <c r="A10">
        <v>5</v>
      </c>
      <c r="B10">
        <v>5</v>
      </c>
      <c r="C10">
        <v>5</v>
      </c>
      <c r="D10">
        <v>5</v>
      </c>
    </row>
    <row r="11" spans="1:4">
      <c r="A11">
        <v>4</v>
      </c>
      <c r="B11">
        <v>4</v>
      </c>
      <c r="C11">
        <v>4</v>
      </c>
      <c r="D11">
        <v>4</v>
      </c>
    </row>
    <row r="12" spans="1:4">
      <c r="A12">
        <v>5</v>
      </c>
      <c r="B12">
        <v>4</v>
      </c>
      <c r="C12">
        <v>5</v>
      </c>
      <c r="D12">
        <v>3</v>
      </c>
    </row>
    <row r="13" spans="1:4">
      <c r="A13">
        <v>5</v>
      </c>
      <c r="B13">
        <v>5</v>
      </c>
      <c r="C13">
        <v>4</v>
      </c>
      <c r="D13">
        <v>5</v>
      </c>
    </row>
    <row r="14" spans="1:4">
      <c r="A14">
        <v>5</v>
      </c>
      <c r="B14">
        <v>5</v>
      </c>
      <c r="C14">
        <v>5</v>
      </c>
      <c r="D14">
        <v>4</v>
      </c>
    </row>
    <row r="15" spans="1:4">
      <c r="A15">
        <v>4</v>
      </c>
      <c r="B15">
        <v>4</v>
      </c>
      <c r="C15" s="3">
        <v>4</v>
      </c>
      <c r="D15" s="3">
        <v>5</v>
      </c>
    </row>
    <row r="16" spans="1:4">
      <c r="A16">
        <v>3</v>
      </c>
      <c r="B16">
        <v>3</v>
      </c>
      <c r="C16">
        <v>5</v>
      </c>
      <c r="D16">
        <v>5</v>
      </c>
    </row>
    <row r="17" spans="1:4">
      <c r="A17">
        <v>5</v>
      </c>
      <c r="B17">
        <v>4</v>
      </c>
      <c r="C17">
        <v>4</v>
      </c>
      <c r="D17">
        <v>4</v>
      </c>
    </row>
    <row r="18" spans="1:4">
      <c r="A18">
        <v>5</v>
      </c>
      <c r="B18">
        <v>3</v>
      </c>
      <c r="C18">
        <v>4</v>
      </c>
      <c r="D18">
        <v>4</v>
      </c>
    </row>
    <row r="19" spans="1:4">
      <c r="A19">
        <v>4</v>
      </c>
      <c r="B19">
        <v>5</v>
      </c>
      <c r="C19">
        <v>5</v>
      </c>
      <c r="D19">
        <v>5</v>
      </c>
    </row>
    <row r="20" spans="1:4">
      <c r="A20">
        <v>5</v>
      </c>
      <c r="B20">
        <v>4</v>
      </c>
      <c r="C20">
        <v>4</v>
      </c>
      <c r="D20">
        <v>5</v>
      </c>
    </row>
    <row r="21" spans="1:4">
      <c r="A21">
        <v>5</v>
      </c>
      <c r="B21">
        <v>4</v>
      </c>
      <c r="C21">
        <v>4</v>
      </c>
      <c r="D21">
        <v>3</v>
      </c>
    </row>
    <row r="22" spans="1:4">
      <c r="A22">
        <v>3</v>
      </c>
      <c r="B22">
        <v>3</v>
      </c>
      <c r="C22">
        <v>4</v>
      </c>
      <c r="D22">
        <v>5</v>
      </c>
    </row>
    <row r="23" spans="1:4">
      <c r="A23">
        <v>4</v>
      </c>
      <c r="B23">
        <v>4</v>
      </c>
      <c r="C23">
        <v>2</v>
      </c>
      <c r="D23">
        <v>3</v>
      </c>
    </row>
    <row r="24" spans="1:4">
      <c r="A24">
        <v>3</v>
      </c>
      <c r="B24">
        <v>5</v>
      </c>
      <c r="C24">
        <v>4</v>
      </c>
      <c r="D24">
        <v>5</v>
      </c>
    </row>
    <row r="25" spans="1:4">
      <c r="A25">
        <v>5</v>
      </c>
      <c r="B25">
        <v>5</v>
      </c>
      <c r="C25">
        <v>5</v>
      </c>
      <c r="D25">
        <v>5</v>
      </c>
    </row>
    <row r="26" spans="1:4">
      <c r="A26">
        <v>4</v>
      </c>
      <c r="B26">
        <v>3</v>
      </c>
      <c r="C26" s="15">
        <v>4</v>
      </c>
      <c r="D26" s="15">
        <v>5</v>
      </c>
    </row>
    <row r="27" spans="1:4">
      <c r="A27" s="15">
        <v>3</v>
      </c>
      <c r="B27" s="15">
        <v>4</v>
      </c>
      <c r="C27">
        <v>4</v>
      </c>
      <c r="D27">
        <v>4</v>
      </c>
    </row>
    <row r="28" spans="1:4">
      <c r="A28">
        <v>5</v>
      </c>
      <c r="B28">
        <v>4</v>
      </c>
      <c r="C28">
        <v>4</v>
      </c>
      <c r="D28">
        <v>4</v>
      </c>
    </row>
    <row r="29" spans="1:4">
      <c r="A29">
        <v>5</v>
      </c>
      <c r="B29">
        <v>4</v>
      </c>
      <c r="C29">
        <v>4</v>
      </c>
      <c r="D29">
        <v>4</v>
      </c>
    </row>
    <row r="30" spans="1:4">
      <c r="A30">
        <v>4</v>
      </c>
      <c r="B30">
        <v>4</v>
      </c>
      <c r="C30">
        <v>5</v>
      </c>
      <c r="D30">
        <v>4</v>
      </c>
    </row>
    <row r="31" spans="1:4">
      <c r="A31">
        <v>4</v>
      </c>
      <c r="B31">
        <v>4</v>
      </c>
      <c r="C31">
        <v>3</v>
      </c>
      <c r="D31">
        <v>5</v>
      </c>
    </row>
    <row r="32" spans="1:4">
      <c r="A32">
        <v>5</v>
      </c>
      <c r="B32">
        <v>5</v>
      </c>
      <c r="C32">
        <v>5</v>
      </c>
      <c r="D32">
        <v>4</v>
      </c>
    </row>
    <row r="33" spans="1:4">
      <c r="A33">
        <v>4</v>
      </c>
      <c r="B33">
        <v>4</v>
      </c>
      <c r="C33" s="15">
        <v>2</v>
      </c>
      <c r="D33" s="15">
        <v>3</v>
      </c>
    </row>
    <row r="34" spans="1:4">
      <c r="A34">
        <v>5</v>
      </c>
      <c r="B34">
        <v>5</v>
      </c>
      <c r="C34" s="15">
        <v>5</v>
      </c>
      <c r="D34" s="15">
        <v>5</v>
      </c>
    </row>
    <row r="35" spans="1:4">
      <c r="A35">
        <v>2</v>
      </c>
      <c r="B35">
        <v>3</v>
      </c>
      <c r="C35">
        <v>5</v>
      </c>
      <c r="D35">
        <v>4</v>
      </c>
    </row>
    <row r="36" spans="1:4">
      <c r="A36">
        <v>4</v>
      </c>
      <c r="B36">
        <v>3</v>
      </c>
      <c r="C36">
        <v>4</v>
      </c>
      <c r="D36">
        <v>4</v>
      </c>
    </row>
    <row r="37" spans="1:4">
      <c r="A37">
        <v>5</v>
      </c>
      <c r="B37">
        <v>4</v>
      </c>
      <c r="C37">
        <v>5</v>
      </c>
      <c r="D37">
        <v>5</v>
      </c>
    </row>
    <row r="38" spans="1:4">
      <c r="A38" s="3"/>
      <c r="B38" s="3"/>
    </row>
    <row r="39" spans="1:4">
      <c r="A39" s="26"/>
      <c r="B39" s="26"/>
    </row>
    <row r="40" spans="1:4">
      <c r="A40" s="26"/>
      <c r="B40" s="26"/>
    </row>
    <row r="41" spans="1:4">
      <c r="A41" s="26"/>
      <c r="B41" s="26"/>
    </row>
    <row r="42" spans="1:4">
      <c r="A42" s="26"/>
      <c r="B42" s="26"/>
    </row>
    <row r="43" spans="1:4">
      <c r="A43" s="26"/>
      <c r="B43" s="26"/>
    </row>
    <row r="44" spans="1:4">
      <c r="A44" s="26"/>
      <c r="B44" s="26"/>
    </row>
    <row r="45" spans="1:4">
      <c r="A45" s="26"/>
      <c r="B45" s="26"/>
    </row>
    <row r="46" spans="1:4">
      <c r="A46" s="26"/>
      <c r="B46" s="26"/>
    </row>
    <row r="47" spans="1:4">
      <c r="A47" s="26"/>
      <c r="B47" s="26"/>
    </row>
    <row r="48" spans="1:4">
      <c r="A48" s="26"/>
      <c r="B48" s="26"/>
    </row>
    <row r="49" spans="1:2">
      <c r="A49" s="26"/>
      <c r="B49" s="26"/>
    </row>
    <row r="50" spans="1:2">
      <c r="A50" s="26"/>
      <c r="B50" s="26"/>
    </row>
    <row r="51" spans="1:2">
      <c r="A51" s="26"/>
      <c r="B51" s="26"/>
    </row>
    <row r="52" spans="1:2">
      <c r="A52" s="26"/>
      <c r="B52" s="26"/>
    </row>
    <row r="53" spans="1:2">
      <c r="A53" s="26"/>
      <c r="B53" s="26"/>
    </row>
    <row r="54" spans="1:2">
      <c r="A54" s="26"/>
      <c r="B54" s="26"/>
    </row>
    <row r="55" spans="1:2">
      <c r="A55" s="26"/>
      <c r="B55" s="26"/>
    </row>
    <row r="56" spans="1:2">
      <c r="A56" s="26"/>
      <c r="B56" s="26"/>
    </row>
    <row r="57" spans="1:2">
      <c r="A57" s="26"/>
      <c r="B57" s="26"/>
    </row>
    <row r="58" spans="1:2">
      <c r="A58" s="26"/>
      <c r="B58" s="26"/>
    </row>
    <row r="59" spans="1:2">
      <c r="A59" s="26"/>
      <c r="B59" s="26"/>
    </row>
    <row r="60" spans="1:2">
      <c r="A60" s="26"/>
      <c r="B60" s="26"/>
    </row>
    <row r="61" spans="1:2">
      <c r="A61" s="26"/>
      <c r="B61" s="26"/>
    </row>
    <row r="62" spans="1:2">
      <c r="A62" s="26"/>
      <c r="B62" s="26"/>
    </row>
    <row r="63" spans="1:2">
      <c r="A63" s="26"/>
      <c r="B63" s="26"/>
    </row>
    <row r="64" spans="1:2">
      <c r="A64" s="26"/>
      <c r="B64" s="26"/>
    </row>
    <row r="65" spans="1:2">
      <c r="A65" s="26"/>
      <c r="B65" s="26"/>
    </row>
    <row r="66" spans="1:2">
      <c r="A66" s="26"/>
      <c r="B66" s="26"/>
    </row>
    <row r="67" spans="1:2">
      <c r="A67" s="26"/>
      <c r="B67" s="26"/>
    </row>
    <row r="68" spans="1:2">
      <c r="A68" s="26"/>
      <c r="B68" s="26"/>
    </row>
    <row r="69" spans="1:2">
      <c r="A69" s="26"/>
      <c r="B69" s="26"/>
    </row>
    <row r="70" spans="1:2">
      <c r="A70" s="26"/>
      <c r="B70" s="26"/>
    </row>
    <row r="71" spans="1:2">
      <c r="A71" s="26"/>
      <c r="B71" s="26"/>
    </row>
    <row r="72" spans="1:2">
      <c r="A72" s="26"/>
      <c r="B72" s="26"/>
    </row>
    <row r="73" spans="1:2">
      <c r="A73" s="26"/>
      <c r="B73" s="26"/>
    </row>
    <row r="74" spans="1:2">
      <c r="A74" s="26"/>
      <c r="B74" s="2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5"/>
  <sheetViews>
    <sheetView topLeftCell="C1" workbookViewId="0">
      <selection activeCell="K1" sqref="K1"/>
    </sheetView>
  </sheetViews>
  <sheetFormatPr defaultColWidth="9.02654867256637" defaultRowHeight="12.75"/>
  <cols>
    <col min="1" max="1" width="12.6814159292035" style="1" customWidth="1"/>
    <col min="2" max="2" width="19.1946902654867" style="2" customWidth="1"/>
    <col min="3" max="3" width="19.787610619469" customWidth="1"/>
    <col min="4" max="4" width="22.5752212389381" style="3" customWidth="1"/>
    <col min="5" max="5" width="17.1946902654867" style="4" customWidth="1"/>
    <col min="6" max="7" width="12.2212389380531" style="3" customWidth="1"/>
    <col min="8" max="8" width="12.2212389380531" style="5" customWidth="1"/>
    <col min="9" max="9" width="9.14159292035398" style="2"/>
    <col min="10" max="11" width="9.14159292035398" style="3"/>
    <col min="12" max="12" width="9.14159292035398" style="4"/>
  </cols>
  <sheetData>
    <row r="1" spans="1:14">
      <c r="A1" s="6" t="s">
        <v>375</v>
      </c>
      <c r="B1" s="7" t="s">
        <v>20</v>
      </c>
      <c r="C1" s="8" t="s">
        <v>376</v>
      </c>
      <c r="D1" s="9" t="s">
        <v>377</v>
      </c>
      <c r="E1" s="10" t="s">
        <v>45</v>
      </c>
      <c r="F1" s="8" t="s">
        <v>376</v>
      </c>
      <c r="G1" s="9" t="s">
        <v>377</v>
      </c>
      <c r="H1" s="11" t="s">
        <v>378</v>
      </c>
      <c r="I1" s="7" t="s">
        <v>20</v>
      </c>
      <c r="J1" s="9"/>
      <c r="K1" s="9"/>
      <c r="L1" s="10" t="s">
        <v>45</v>
      </c>
    </row>
    <row r="2" spans="1:14">
      <c r="A2" s="1">
        <v>1</v>
      </c>
      <c r="B2" s="12">
        <v>6</v>
      </c>
      <c r="C2" s="13">
        <v>6.43333333333333</v>
      </c>
      <c r="D2" s="14">
        <v>6</v>
      </c>
      <c r="E2" s="12">
        <v>6</v>
      </c>
      <c r="F2" s="3">
        <v>6.38333333333333</v>
      </c>
      <c r="G2" s="3">
        <v>6</v>
      </c>
      <c r="H2" s="5">
        <v>17</v>
      </c>
      <c r="I2" s="12">
        <v>6</v>
      </c>
      <c r="J2" s="14">
        <v>5.875</v>
      </c>
      <c r="K2" s="14">
        <v>6</v>
      </c>
      <c r="L2" s="12">
        <v>5</v>
      </c>
      <c r="M2">
        <v>5.075</v>
      </c>
      <c r="N2">
        <v>5</v>
      </c>
    </row>
    <row r="3" spans="1:14">
      <c r="A3" s="1">
        <v>2</v>
      </c>
      <c r="B3" s="2">
        <v>7</v>
      </c>
      <c r="C3" s="13">
        <v>6.625</v>
      </c>
      <c r="D3" s="15">
        <v>5.66666666666667</v>
      </c>
      <c r="E3" s="16">
        <v>7</v>
      </c>
      <c r="F3" s="3">
        <v>6.49583333333333</v>
      </c>
      <c r="G3" s="3">
        <v>7</v>
      </c>
      <c r="H3" s="5">
        <v>18</v>
      </c>
      <c r="I3" s="2">
        <v>6</v>
      </c>
      <c r="J3" s="15">
        <v>6.375</v>
      </c>
      <c r="K3" s="15">
        <v>6.66666666666667</v>
      </c>
      <c r="L3" s="16">
        <v>7</v>
      </c>
      <c r="M3">
        <v>6.5</v>
      </c>
      <c r="N3">
        <v>6</v>
      </c>
    </row>
    <row r="4" spans="1:14">
      <c r="A4" s="1">
        <v>3</v>
      </c>
      <c r="B4" s="12">
        <v>5</v>
      </c>
      <c r="C4" s="13">
        <v>5.97916666666667</v>
      </c>
      <c r="D4" s="14">
        <v>5.66666666666667</v>
      </c>
      <c r="E4" s="12">
        <v>6</v>
      </c>
      <c r="F4" s="3">
        <v>6.45833333333333</v>
      </c>
      <c r="G4" s="3">
        <v>6.66666666666667</v>
      </c>
      <c r="H4" s="5">
        <v>37</v>
      </c>
      <c r="I4" s="2">
        <v>6</v>
      </c>
      <c r="J4" s="15">
        <v>5.29166666666667</v>
      </c>
      <c r="K4" s="15">
        <v>6</v>
      </c>
      <c r="L4" s="16">
        <v>5</v>
      </c>
      <c r="M4">
        <v>5</v>
      </c>
      <c r="N4">
        <v>4.33333333333333</v>
      </c>
    </row>
    <row r="5" spans="1:14">
      <c r="A5" s="1">
        <v>4</v>
      </c>
      <c r="B5" s="2">
        <v>6</v>
      </c>
      <c r="C5" s="13">
        <v>5.975</v>
      </c>
      <c r="D5" s="15">
        <v>5.33333333333333</v>
      </c>
      <c r="E5" s="16">
        <v>6</v>
      </c>
      <c r="F5" s="3">
        <v>6.44166666666667</v>
      </c>
      <c r="G5" s="3">
        <v>6.33333333333333</v>
      </c>
      <c r="H5" s="5">
        <v>38</v>
      </c>
      <c r="I5" s="12">
        <v>3</v>
      </c>
      <c r="J5" s="14">
        <v>3.5375</v>
      </c>
      <c r="K5" s="14">
        <v>2</v>
      </c>
      <c r="L5" s="12">
        <v>3</v>
      </c>
      <c r="M5">
        <v>4.1</v>
      </c>
      <c r="N5">
        <v>3.33333333333333</v>
      </c>
    </row>
    <row r="6" spans="1:14">
      <c r="A6" s="17">
        <v>5</v>
      </c>
      <c r="B6" s="12">
        <v>5</v>
      </c>
      <c r="C6" s="13">
        <v>5.1125</v>
      </c>
      <c r="D6" s="14">
        <v>4.33333333333333</v>
      </c>
      <c r="E6" s="12">
        <v>5</v>
      </c>
      <c r="F6" s="3">
        <v>5.55</v>
      </c>
      <c r="G6" s="3">
        <v>5</v>
      </c>
      <c r="H6" s="5">
        <v>39</v>
      </c>
      <c r="I6" s="2">
        <v>3</v>
      </c>
      <c r="J6" s="15">
        <v>3.36666666666667</v>
      </c>
      <c r="K6" s="15">
        <v>2.33333333333333</v>
      </c>
      <c r="L6" s="16">
        <v>5</v>
      </c>
      <c r="M6">
        <v>5.68333333333333</v>
      </c>
      <c r="N6">
        <v>5.33333333333333</v>
      </c>
    </row>
    <row r="7" spans="1:14">
      <c r="A7" s="1">
        <v>6</v>
      </c>
      <c r="B7" s="12">
        <v>5</v>
      </c>
      <c r="C7" s="13">
        <v>4.72916666666667</v>
      </c>
      <c r="D7" s="14">
        <v>5.66666666666667</v>
      </c>
      <c r="E7" s="12">
        <v>6</v>
      </c>
      <c r="F7" s="3">
        <v>5.21666666666667</v>
      </c>
      <c r="G7" s="3">
        <v>5.66666666666667</v>
      </c>
      <c r="H7" s="5">
        <v>40</v>
      </c>
      <c r="I7" s="16">
        <v>7</v>
      </c>
      <c r="J7" s="14">
        <v>6.9375</v>
      </c>
      <c r="K7" s="14">
        <v>7</v>
      </c>
      <c r="L7" s="12">
        <v>6</v>
      </c>
      <c r="M7">
        <v>6.3625</v>
      </c>
      <c r="N7">
        <v>6</v>
      </c>
    </row>
    <row r="8" spans="1:14">
      <c r="A8" s="17">
        <v>7</v>
      </c>
      <c r="B8" s="12">
        <v>3</v>
      </c>
      <c r="C8" s="13">
        <v>5.37916666666667</v>
      </c>
      <c r="D8" s="15">
        <v>3</v>
      </c>
      <c r="E8" s="16">
        <v>7</v>
      </c>
      <c r="F8" s="3">
        <v>7</v>
      </c>
      <c r="G8" s="3">
        <v>7</v>
      </c>
      <c r="H8" s="5">
        <v>41</v>
      </c>
      <c r="I8" s="2">
        <v>5</v>
      </c>
      <c r="J8" s="15">
        <v>4.52916666666667</v>
      </c>
      <c r="K8" s="15">
        <v>5</v>
      </c>
      <c r="L8" s="16">
        <v>6</v>
      </c>
      <c r="M8">
        <v>6.01666666666667</v>
      </c>
      <c r="N8">
        <v>6.33333333333333</v>
      </c>
    </row>
    <row r="9" spans="1:14">
      <c r="A9" s="17">
        <v>8</v>
      </c>
      <c r="B9" s="16">
        <v>7</v>
      </c>
      <c r="C9" s="13">
        <v>6.59583333333333</v>
      </c>
      <c r="D9" s="14">
        <v>7</v>
      </c>
      <c r="E9" s="12">
        <v>6</v>
      </c>
      <c r="F9" s="3">
        <v>5.9625</v>
      </c>
      <c r="G9" s="3">
        <v>6</v>
      </c>
      <c r="H9" s="5">
        <v>44</v>
      </c>
      <c r="I9" s="2">
        <v>6</v>
      </c>
      <c r="J9" s="15">
        <v>6.27083333333333</v>
      </c>
      <c r="K9" s="15">
        <v>6</v>
      </c>
      <c r="L9" s="16">
        <v>5</v>
      </c>
      <c r="M9">
        <v>5.14166666666667</v>
      </c>
      <c r="N9">
        <v>5.66666666666667</v>
      </c>
    </row>
    <row r="10" spans="1:14">
      <c r="A10" s="1">
        <v>9</v>
      </c>
      <c r="B10" s="12">
        <v>6</v>
      </c>
      <c r="C10" s="13">
        <v>6.49166666666667</v>
      </c>
      <c r="D10" s="15">
        <v>6.33333333333333</v>
      </c>
      <c r="E10" s="16">
        <v>7</v>
      </c>
      <c r="F10" s="3">
        <v>6.64166666666667</v>
      </c>
      <c r="G10" s="3">
        <v>6.66666666666667</v>
      </c>
      <c r="H10" s="5">
        <v>45</v>
      </c>
      <c r="I10" s="16">
        <v>4</v>
      </c>
      <c r="J10" s="14">
        <v>4.2375</v>
      </c>
      <c r="K10" s="14">
        <v>3.33333333333333</v>
      </c>
      <c r="L10" s="12">
        <v>3</v>
      </c>
      <c r="M10">
        <v>2.93333333333333</v>
      </c>
      <c r="N10">
        <v>2.33333333333333</v>
      </c>
    </row>
    <row r="11" spans="1:14">
      <c r="A11" s="1">
        <v>10</v>
      </c>
      <c r="B11" s="12">
        <v>6</v>
      </c>
      <c r="C11" s="13">
        <v>5.13333333333333</v>
      </c>
      <c r="D11" s="14">
        <v>5.66666666666667</v>
      </c>
      <c r="E11" s="12">
        <v>5</v>
      </c>
      <c r="F11" s="3">
        <v>5.25833333333333</v>
      </c>
      <c r="G11" s="3">
        <v>5</v>
      </c>
      <c r="H11" s="5">
        <v>46</v>
      </c>
      <c r="I11" s="12">
        <v>5</v>
      </c>
      <c r="J11" s="14">
        <v>4.35833333333333</v>
      </c>
      <c r="K11" s="14">
        <v>4.66666666666667</v>
      </c>
      <c r="L11" s="12">
        <v>5</v>
      </c>
      <c r="M11">
        <v>4.8875</v>
      </c>
      <c r="N11">
        <v>4.66666666666667</v>
      </c>
    </row>
    <row r="12" spans="1:14">
      <c r="A12" s="1">
        <v>11</v>
      </c>
      <c r="B12" s="2">
        <v>6</v>
      </c>
      <c r="C12" s="13">
        <v>6.67916666666667</v>
      </c>
      <c r="D12" s="15">
        <v>6.66666666666667</v>
      </c>
      <c r="E12" s="16">
        <v>7</v>
      </c>
      <c r="F12" s="3">
        <v>6.775</v>
      </c>
      <c r="G12" s="3">
        <v>6.66666666666667</v>
      </c>
      <c r="H12" s="5">
        <v>47</v>
      </c>
      <c r="I12" s="12">
        <v>6</v>
      </c>
      <c r="J12" s="15">
        <v>6.03333333333333</v>
      </c>
      <c r="K12" s="15">
        <v>5.33333333333333</v>
      </c>
      <c r="L12" s="16">
        <v>7</v>
      </c>
      <c r="M12">
        <v>7</v>
      </c>
      <c r="N12">
        <v>6.33333333333333</v>
      </c>
    </row>
    <row r="13" spans="1:14">
      <c r="A13" s="1">
        <v>12</v>
      </c>
      <c r="B13" s="16">
        <v>7</v>
      </c>
      <c r="C13" s="13">
        <v>6.7625</v>
      </c>
      <c r="D13" s="14">
        <v>7</v>
      </c>
      <c r="E13" s="12">
        <v>5</v>
      </c>
      <c r="F13" s="3">
        <v>6.625</v>
      </c>
      <c r="G13" s="3">
        <v>5.66666666666667</v>
      </c>
      <c r="H13" s="5">
        <v>48</v>
      </c>
      <c r="I13" s="2">
        <v>5</v>
      </c>
      <c r="J13" s="15">
        <v>3.26666666666667</v>
      </c>
      <c r="K13" s="15">
        <v>3.66666666666667</v>
      </c>
      <c r="L13" s="16">
        <v>7</v>
      </c>
      <c r="M13">
        <v>7</v>
      </c>
      <c r="N13">
        <v>7</v>
      </c>
    </row>
    <row r="14" spans="1:14">
      <c r="A14" s="1">
        <v>13</v>
      </c>
      <c r="B14" s="12">
        <v>5</v>
      </c>
      <c r="C14" s="13">
        <v>4.8875</v>
      </c>
      <c r="D14" s="14">
        <v>3.66666666666667</v>
      </c>
      <c r="E14" s="12">
        <v>6</v>
      </c>
      <c r="F14" s="3">
        <v>6.61666666666667</v>
      </c>
      <c r="G14" s="3">
        <v>5.66666666666667</v>
      </c>
      <c r="H14" s="5">
        <v>49</v>
      </c>
      <c r="I14" s="2">
        <v>6</v>
      </c>
      <c r="J14" s="15">
        <v>5</v>
      </c>
      <c r="K14" s="15">
        <v>6</v>
      </c>
      <c r="L14" s="16">
        <v>5</v>
      </c>
      <c r="M14">
        <v>4.1</v>
      </c>
      <c r="N14">
        <v>4.66666666666667</v>
      </c>
    </row>
    <row r="15" spans="1:14">
      <c r="A15" s="1">
        <v>14</v>
      </c>
      <c r="B15" s="12">
        <v>6</v>
      </c>
      <c r="C15" s="13">
        <v>5.9625</v>
      </c>
      <c r="D15" s="14">
        <v>6</v>
      </c>
      <c r="E15" s="12">
        <v>6</v>
      </c>
      <c r="F15" s="3">
        <v>6</v>
      </c>
      <c r="G15" s="3">
        <v>6</v>
      </c>
      <c r="H15" s="5">
        <v>50</v>
      </c>
      <c r="I15" s="12">
        <v>6</v>
      </c>
      <c r="J15" s="14">
        <v>5.42083333333333</v>
      </c>
      <c r="K15" s="14">
        <v>5</v>
      </c>
      <c r="L15" s="12">
        <v>6</v>
      </c>
      <c r="M15">
        <v>5.64583333333333</v>
      </c>
      <c r="N15">
        <v>5.33333333333333</v>
      </c>
    </row>
    <row r="16" spans="1:14">
      <c r="A16" s="1">
        <v>15</v>
      </c>
      <c r="B16" s="16">
        <v>7</v>
      </c>
      <c r="C16" s="13">
        <v>6.33333333333333</v>
      </c>
      <c r="D16" s="14">
        <v>7</v>
      </c>
      <c r="E16" s="12">
        <v>6</v>
      </c>
      <c r="F16" s="3">
        <v>6.39166666666667</v>
      </c>
      <c r="G16" s="3">
        <v>6.66666666666667</v>
      </c>
      <c r="H16" s="5">
        <v>51</v>
      </c>
      <c r="I16" s="16">
        <v>4</v>
      </c>
      <c r="J16" s="14">
        <v>4.89583333333333</v>
      </c>
      <c r="K16" s="14">
        <v>3.66666666666667</v>
      </c>
      <c r="L16" s="12">
        <v>6</v>
      </c>
      <c r="M16">
        <v>5.75</v>
      </c>
      <c r="N16">
        <v>5.33333333333333</v>
      </c>
    </row>
    <row r="17" spans="1:14">
      <c r="A17" s="1">
        <v>16</v>
      </c>
      <c r="B17" s="12">
        <v>6</v>
      </c>
      <c r="C17" s="13">
        <v>6.2375</v>
      </c>
      <c r="D17" s="14">
        <v>6.33333333333333</v>
      </c>
      <c r="E17" s="12">
        <v>6</v>
      </c>
      <c r="F17" s="3">
        <v>5.5875</v>
      </c>
      <c r="G17" s="3">
        <v>6.66666666666667</v>
      </c>
      <c r="H17" s="5">
        <v>52</v>
      </c>
      <c r="I17" s="2">
        <v>4</v>
      </c>
      <c r="J17" s="15">
        <v>3.10833333333333</v>
      </c>
      <c r="K17" s="15">
        <v>2.66666666666667</v>
      </c>
      <c r="L17" s="16">
        <v>5</v>
      </c>
      <c r="M17">
        <v>6.125</v>
      </c>
      <c r="N17">
        <v>4</v>
      </c>
    </row>
    <row r="18" spans="1:14">
      <c r="A18" s="1">
        <v>19</v>
      </c>
      <c r="B18" s="12">
        <v>6</v>
      </c>
      <c r="C18" s="13">
        <v>4.92083333333333</v>
      </c>
      <c r="D18" s="14">
        <v>5.66666666666667</v>
      </c>
      <c r="E18" s="12">
        <v>6</v>
      </c>
      <c r="F18" s="3">
        <v>5.44583333333333</v>
      </c>
      <c r="G18" s="3">
        <v>5.33333333333333</v>
      </c>
      <c r="H18" s="5">
        <v>53</v>
      </c>
      <c r="I18" s="12">
        <v>6</v>
      </c>
      <c r="J18" s="14">
        <v>6.1</v>
      </c>
      <c r="K18" s="14">
        <v>5.33333333333333</v>
      </c>
      <c r="L18" s="12">
        <v>6</v>
      </c>
      <c r="M18">
        <v>6.07916666666667</v>
      </c>
      <c r="N18">
        <v>6.33333333333333</v>
      </c>
    </row>
    <row r="19" spans="1:14">
      <c r="A19" s="1">
        <v>20</v>
      </c>
      <c r="B19" s="16">
        <v>7</v>
      </c>
      <c r="C19" s="13">
        <v>6.36666666666667</v>
      </c>
      <c r="D19" s="15">
        <v>7</v>
      </c>
      <c r="E19" s="16">
        <v>7</v>
      </c>
      <c r="F19" s="3">
        <v>6.51666666666667</v>
      </c>
      <c r="G19" s="3">
        <v>6.66666666666667</v>
      </c>
      <c r="H19" s="5">
        <v>54</v>
      </c>
      <c r="I19" s="16">
        <v>7</v>
      </c>
      <c r="J19" s="14">
        <v>7</v>
      </c>
      <c r="K19" s="14">
        <v>7</v>
      </c>
      <c r="L19" s="12">
        <v>5</v>
      </c>
      <c r="M19">
        <v>6.72916666666667</v>
      </c>
      <c r="N19">
        <v>5.66666666666667</v>
      </c>
    </row>
    <row r="20" spans="1:14">
      <c r="A20" s="1">
        <v>21</v>
      </c>
      <c r="B20" s="16">
        <v>7</v>
      </c>
      <c r="C20" s="13">
        <v>7</v>
      </c>
      <c r="D20" s="15">
        <v>7</v>
      </c>
      <c r="E20" s="16">
        <v>7</v>
      </c>
      <c r="F20" s="3">
        <v>6.74166666666667</v>
      </c>
      <c r="G20" s="3">
        <v>7</v>
      </c>
      <c r="H20" s="5">
        <v>55</v>
      </c>
      <c r="I20" s="16">
        <v>4</v>
      </c>
      <c r="J20" s="15">
        <v>4.1625</v>
      </c>
      <c r="K20" s="15">
        <v>4</v>
      </c>
      <c r="L20" s="16">
        <v>4</v>
      </c>
      <c r="M20">
        <v>5.47916666666667</v>
      </c>
      <c r="N20">
        <v>3.66666666666667</v>
      </c>
    </row>
    <row r="21" spans="1:14">
      <c r="A21" s="1">
        <v>22</v>
      </c>
      <c r="B21" s="12">
        <v>6</v>
      </c>
      <c r="C21" s="13">
        <v>6.30416666666667</v>
      </c>
      <c r="D21" s="15">
        <v>6.66666666666667</v>
      </c>
      <c r="E21" s="16">
        <v>7</v>
      </c>
      <c r="F21" s="3">
        <v>6.24583333333333</v>
      </c>
      <c r="G21" s="3">
        <v>7</v>
      </c>
      <c r="H21" s="5">
        <v>56</v>
      </c>
      <c r="I21" s="2">
        <v>4</v>
      </c>
      <c r="J21" s="15">
        <v>4.70833333333333</v>
      </c>
      <c r="K21" s="15">
        <v>3.33333333333333</v>
      </c>
      <c r="L21" s="16">
        <v>7</v>
      </c>
      <c r="M21">
        <v>6.14166666666667</v>
      </c>
      <c r="N21">
        <v>5.66666666666667</v>
      </c>
    </row>
    <row r="22" spans="1:14">
      <c r="A22" s="1">
        <v>23</v>
      </c>
      <c r="B22" s="2">
        <v>7</v>
      </c>
      <c r="C22" s="13">
        <v>6.62916666666667</v>
      </c>
      <c r="D22" s="15">
        <v>7</v>
      </c>
      <c r="E22" s="16">
        <v>7</v>
      </c>
      <c r="F22" s="3">
        <v>7</v>
      </c>
      <c r="G22" s="3">
        <v>7</v>
      </c>
      <c r="H22" s="5">
        <v>57</v>
      </c>
      <c r="I22" s="2">
        <v>3</v>
      </c>
      <c r="J22" s="15">
        <v>3.80416666666667</v>
      </c>
      <c r="K22" s="15">
        <v>2.33333333333333</v>
      </c>
      <c r="L22" s="16">
        <v>5</v>
      </c>
      <c r="M22">
        <v>4.57916666666667</v>
      </c>
      <c r="N22">
        <v>3.66666666666667</v>
      </c>
    </row>
    <row r="23" spans="1:14">
      <c r="A23" s="1">
        <v>24</v>
      </c>
      <c r="B23" s="12">
        <v>6</v>
      </c>
      <c r="C23" s="13">
        <v>5.75</v>
      </c>
      <c r="D23" s="15">
        <v>6.66666666666667</v>
      </c>
      <c r="E23" s="16">
        <v>7</v>
      </c>
      <c r="F23" s="3">
        <v>5.275</v>
      </c>
      <c r="G23" s="3">
        <v>7</v>
      </c>
      <c r="H23" s="5">
        <v>58</v>
      </c>
      <c r="I23" s="12">
        <v>6</v>
      </c>
      <c r="J23" s="15">
        <v>5.34583333333333</v>
      </c>
      <c r="K23" s="15">
        <v>6</v>
      </c>
      <c r="L23" s="16">
        <v>4</v>
      </c>
      <c r="M23">
        <v>4.475</v>
      </c>
      <c r="N23">
        <v>4.66666666666667</v>
      </c>
    </row>
    <row r="24" spans="1:14">
      <c r="A24" s="1">
        <v>25</v>
      </c>
      <c r="B24" s="12">
        <v>6</v>
      </c>
      <c r="C24" s="13">
        <v>4.77083333333333</v>
      </c>
      <c r="D24" s="14">
        <v>5.66666666666667</v>
      </c>
      <c r="E24" s="12">
        <v>6</v>
      </c>
      <c r="F24" s="3">
        <v>4.97916666666667</v>
      </c>
      <c r="G24" s="3">
        <v>5.33333333333333</v>
      </c>
      <c r="H24" s="5">
        <v>59</v>
      </c>
      <c r="I24" s="12">
        <v>2</v>
      </c>
      <c r="J24" s="14">
        <v>3.29166666666667</v>
      </c>
      <c r="K24" s="14">
        <v>1.33333333333333</v>
      </c>
      <c r="L24" s="12">
        <v>3</v>
      </c>
      <c r="M24">
        <v>3.90833333333333</v>
      </c>
      <c r="N24">
        <v>1.66666666666667</v>
      </c>
    </row>
    <row r="25" spans="1:14">
      <c r="A25" s="1">
        <v>26</v>
      </c>
      <c r="B25" s="16">
        <v>7</v>
      </c>
      <c r="C25" s="13">
        <v>6.9375</v>
      </c>
      <c r="D25" s="15">
        <v>7</v>
      </c>
      <c r="E25" s="16">
        <v>7</v>
      </c>
      <c r="F25" s="3">
        <v>6.80416666666667</v>
      </c>
      <c r="G25" s="3">
        <v>7</v>
      </c>
      <c r="H25" s="5">
        <v>60</v>
      </c>
      <c r="I25" s="12">
        <v>6</v>
      </c>
      <c r="J25" s="14">
        <v>5.825</v>
      </c>
      <c r="K25" s="14">
        <v>5.66666666666667</v>
      </c>
      <c r="L25" s="12">
        <v>6</v>
      </c>
      <c r="M25">
        <v>5.56666666666667</v>
      </c>
      <c r="N25">
        <v>5.33333333333333</v>
      </c>
    </row>
    <row r="26" spans="1:14">
      <c r="A26" s="1">
        <v>27</v>
      </c>
      <c r="B26" s="12">
        <v>6</v>
      </c>
      <c r="C26" s="13">
        <v>6.63333333333333</v>
      </c>
      <c r="D26" s="15">
        <v>6.66666666666667</v>
      </c>
      <c r="E26" s="16">
        <v>7</v>
      </c>
      <c r="F26" s="3">
        <v>6.49166666666667</v>
      </c>
      <c r="G26" s="3">
        <v>7</v>
      </c>
      <c r="H26" s="5">
        <v>61</v>
      </c>
      <c r="I26" s="16">
        <v>4</v>
      </c>
      <c r="J26" s="14">
        <v>5.05</v>
      </c>
      <c r="K26" s="14">
        <v>2.66666666666667</v>
      </c>
      <c r="L26" s="12">
        <v>6</v>
      </c>
      <c r="M26">
        <v>5.91666666666667</v>
      </c>
      <c r="N26">
        <v>5.33333333333333</v>
      </c>
    </row>
    <row r="27" spans="1:14">
      <c r="A27" s="1">
        <v>28</v>
      </c>
      <c r="B27" s="12">
        <v>6</v>
      </c>
      <c r="C27" s="13">
        <v>5.75833333333333</v>
      </c>
      <c r="D27" s="15">
        <v>5.66666666666667</v>
      </c>
      <c r="E27" s="16">
        <v>7</v>
      </c>
      <c r="F27" s="3">
        <v>6.18333333333333</v>
      </c>
      <c r="G27" s="3">
        <v>6.5</v>
      </c>
      <c r="H27" s="5">
        <v>62</v>
      </c>
      <c r="I27" s="12">
        <v>5</v>
      </c>
      <c r="J27" s="14">
        <v>5.69166666666667</v>
      </c>
      <c r="K27" s="14">
        <v>5.33333333333333</v>
      </c>
      <c r="L27" s="12">
        <v>5</v>
      </c>
      <c r="M27">
        <v>4.65833333333333</v>
      </c>
      <c r="N27">
        <v>4.66666666666667</v>
      </c>
    </row>
    <row r="28" spans="1:14">
      <c r="A28" s="1">
        <v>29</v>
      </c>
      <c r="B28" s="12">
        <v>5</v>
      </c>
      <c r="C28" s="13">
        <v>4.94166666666667</v>
      </c>
      <c r="D28" s="14">
        <v>5.66666666666667</v>
      </c>
      <c r="E28" s="12">
        <v>6</v>
      </c>
      <c r="F28" s="3">
        <v>5.32916666666667</v>
      </c>
      <c r="G28" s="3">
        <v>6</v>
      </c>
      <c r="H28" s="5">
        <v>63</v>
      </c>
      <c r="I28" s="12">
        <v>6</v>
      </c>
      <c r="J28" s="15">
        <v>6.29166666666667</v>
      </c>
      <c r="K28" s="15">
        <v>6.33333333333333</v>
      </c>
      <c r="L28" s="16">
        <v>7</v>
      </c>
      <c r="M28">
        <v>6.3</v>
      </c>
      <c r="N28">
        <v>6.66666666666667</v>
      </c>
    </row>
    <row r="29" spans="1:14">
      <c r="A29" s="1">
        <v>30</v>
      </c>
      <c r="B29" s="16">
        <v>7</v>
      </c>
      <c r="C29" s="13">
        <v>7</v>
      </c>
      <c r="D29" s="15">
        <v>7</v>
      </c>
      <c r="E29" s="16">
        <v>7</v>
      </c>
      <c r="F29" s="3">
        <v>7</v>
      </c>
      <c r="G29" s="3">
        <v>7</v>
      </c>
      <c r="H29" s="5">
        <v>64</v>
      </c>
      <c r="I29" s="12">
        <v>6</v>
      </c>
      <c r="J29" s="14">
        <v>5.85833333333333</v>
      </c>
      <c r="K29" s="14">
        <v>5.33333333333333</v>
      </c>
      <c r="L29" s="12">
        <v>6</v>
      </c>
      <c r="M29">
        <v>6.38333333333333</v>
      </c>
      <c r="N29">
        <v>6</v>
      </c>
    </row>
    <row r="30" spans="1:14">
      <c r="A30" s="1">
        <v>31</v>
      </c>
      <c r="B30" s="2">
        <v>7</v>
      </c>
      <c r="C30" s="13">
        <v>7</v>
      </c>
      <c r="D30" s="15">
        <v>7</v>
      </c>
      <c r="E30" s="16">
        <v>7</v>
      </c>
      <c r="F30" s="3">
        <v>6.7125</v>
      </c>
      <c r="G30" s="3">
        <v>7</v>
      </c>
      <c r="H30" s="5">
        <v>65</v>
      </c>
      <c r="I30" s="12">
        <v>5</v>
      </c>
      <c r="J30" s="14">
        <v>4.47083333333333</v>
      </c>
      <c r="K30" s="14">
        <v>5.66666666666667</v>
      </c>
      <c r="L30" s="12">
        <v>6</v>
      </c>
      <c r="M30">
        <v>5.36666666666667</v>
      </c>
      <c r="N30">
        <v>6</v>
      </c>
    </row>
    <row r="31" spans="1:14">
      <c r="A31" s="1">
        <v>32</v>
      </c>
      <c r="B31" s="12">
        <v>6</v>
      </c>
      <c r="C31" s="13">
        <v>5.9375</v>
      </c>
      <c r="D31" s="14">
        <v>6.33333333333333</v>
      </c>
      <c r="E31" s="12">
        <v>6</v>
      </c>
      <c r="F31" s="3">
        <v>5.75</v>
      </c>
      <c r="G31" s="3">
        <v>6</v>
      </c>
      <c r="H31" s="5">
        <v>66</v>
      </c>
      <c r="I31" s="2">
        <v>5</v>
      </c>
      <c r="J31" s="15">
        <v>5.27916666666667</v>
      </c>
      <c r="K31" s="15">
        <v>6</v>
      </c>
      <c r="L31" s="16">
        <v>7</v>
      </c>
      <c r="M31">
        <v>6.8125</v>
      </c>
      <c r="N31">
        <v>6.66666666666667</v>
      </c>
    </row>
    <row r="32" spans="1:14">
      <c r="A32" s="1">
        <v>33</v>
      </c>
      <c r="B32" s="16">
        <v>7</v>
      </c>
      <c r="C32" s="13">
        <v>6.55416666666667</v>
      </c>
      <c r="D32" s="14">
        <v>7</v>
      </c>
      <c r="E32" s="12">
        <v>6</v>
      </c>
      <c r="F32" s="3">
        <v>5.60416666666667</v>
      </c>
      <c r="G32" s="3">
        <v>6.33333333333333</v>
      </c>
      <c r="H32" s="5">
        <v>67</v>
      </c>
      <c r="I32" s="16">
        <v>7</v>
      </c>
      <c r="J32" s="15">
        <v>6.75</v>
      </c>
      <c r="K32" s="15">
        <v>7</v>
      </c>
      <c r="L32" s="16">
        <v>7</v>
      </c>
      <c r="M32">
        <v>6.875</v>
      </c>
      <c r="N32">
        <v>7</v>
      </c>
    </row>
    <row r="33" spans="1:14">
      <c r="A33" s="1">
        <v>34</v>
      </c>
      <c r="B33" s="12">
        <v>6</v>
      </c>
      <c r="C33" s="13">
        <v>5.6</v>
      </c>
      <c r="D33" s="14">
        <v>6</v>
      </c>
      <c r="E33" s="12">
        <v>5</v>
      </c>
      <c r="F33" s="3">
        <v>4.50416666666667</v>
      </c>
      <c r="G33" s="3">
        <v>4.66666666666667</v>
      </c>
      <c r="H33" s="5">
        <v>68</v>
      </c>
      <c r="I33" s="12">
        <v>6</v>
      </c>
      <c r="J33" s="14">
        <v>5.72083333333333</v>
      </c>
      <c r="K33" s="14">
        <v>6</v>
      </c>
      <c r="L33" s="12">
        <v>6</v>
      </c>
      <c r="M33">
        <v>5.92916666666667</v>
      </c>
      <c r="N33">
        <v>6</v>
      </c>
    </row>
    <row r="34" spans="1:14">
      <c r="A34" s="1">
        <v>35</v>
      </c>
      <c r="B34" s="2">
        <v>7</v>
      </c>
      <c r="C34" s="13">
        <v>6.81666666666667</v>
      </c>
      <c r="D34" s="15">
        <v>7</v>
      </c>
      <c r="E34" s="16">
        <v>7</v>
      </c>
      <c r="F34" s="3">
        <v>6.875</v>
      </c>
      <c r="G34" s="3">
        <v>7</v>
      </c>
      <c r="H34" s="5">
        <v>70</v>
      </c>
      <c r="I34" s="12">
        <v>6</v>
      </c>
      <c r="J34" s="14">
        <v>5.225</v>
      </c>
      <c r="K34" s="14">
        <v>6</v>
      </c>
      <c r="L34" s="12">
        <v>6</v>
      </c>
      <c r="M34">
        <v>5.91666666666667</v>
      </c>
      <c r="N34">
        <v>5.33333333333333</v>
      </c>
    </row>
    <row r="35" spans="1:14">
      <c r="A35" s="1">
        <v>36</v>
      </c>
      <c r="B35" s="2">
        <v>5</v>
      </c>
      <c r="C35" s="13">
        <v>4.96666666666667</v>
      </c>
      <c r="D35" s="15">
        <v>5</v>
      </c>
      <c r="E35" s="16">
        <v>7</v>
      </c>
      <c r="F35" s="3">
        <v>6.8875</v>
      </c>
      <c r="G35" s="3">
        <v>7</v>
      </c>
      <c r="H35" s="5">
        <v>71</v>
      </c>
      <c r="I35" s="12">
        <v>6</v>
      </c>
      <c r="J35" s="14">
        <v>7</v>
      </c>
      <c r="K35" s="14">
        <v>6</v>
      </c>
      <c r="L35" s="12">
        <v>6</v>
      </c>
      <c r="M35">
        <v>6.3125</v>
      </c>
      <c r="N35">
        <v>6</v>
      </c>
    </row>
    <row r="36" spans="1:14">
      <c r="A36" s="1">
        <v>42</v>
      </c>
      <c r="B36" s="12">
        <v>6</v>
      </c>
      <c r="C36" s="13">
        <v>6.00416666666667</v>
      </c>
      <c r="D36" s="15">
        <v>6.33333333333333</v>
      </c>
      <c r="E36" s="16">
        <v>7</v>
      </c>
      <c r="F36" s="3">
        <v>6.95</v>
      </c>
      <c r="G36" s="3">
        <v>7</v>
      </c>
      <c r="H36" s="5">
        <v>72</v>
      </c>
      <c r="I36" s="16">
        <v>4</v>
      </c>
      <c r="J36" s="15">
        <v>5.1375</v>
      </c>
      <c r="K36" s="15">
        <v>3</v>
      </c>
      <c r="L36" s="16">
        <v>4</v>
      </c>
      <c r="M36">
        <v>5.4625</v>
      </c>
      <c r="N36">
        <v>3</v>
      </c>
    </row>
    <row r="37" spans="1:14">
      <c r="A37" s="1">
        <v>43</v>
      </c>
      <c r="B37" s="12">
        <v>6</v>
      </c>
      <c r="C37" s="13">
        <v>6.04166666666667</v>
      </c>
      <c r="D37" s="15">
        <v>6</v>
      </c>
      <c r="E37" s="16">
        <v>7</v>
      </c>
      <c r="F37" s="3">
        <v>6.9375</v>
      </c>
      <c r="G37" s="3">
        <v>7</v>
      </c>
      <c r="H37" s="5">
        <v>73</v>
      </c>
      <c r="I37" s="16">
        <v>7</v>
      </c>
      <c r="J37" s="14">
        <v>6.54166666666667</v>
      </c>
      <c r="K37" s="14">
        <v>7</v>
      </c>
      <c r="L37" s="12">
        <v>6</v>
      </c>
      <c r="M37">
        <v>5.99166666666667</v>
      </c>
      <c r="N37">
        <v>6.33333333333333</v>
      </c>
    </row>
    <row r="38" spans="1:14">
      <c r="A38" s="17"/>
      <c r="B38" s="4"/>
    </row>
    <row r="39" spans="1:14">
      <c r="A39" s="18"/>
      <c r="B39" s="19"/>
      <c r="D39" s="20"/>
      <c r="E39" s="21"/>
    </row>
    <row r="40" spans="1:14">
      <c r="A40" s="18"/>
      <c r="B40" s="19"/>
      <c r="D40" s="20"/>
      <c r="E40" s="21"/>
    </row>
    <row r="41" spans="1:14">
      <c r="A41" s="18"/>
      <c r="B41" s="19"/>
      <c r="D41" s="20"/>
      <c r="E41" s="21"/>
    </row>
    <row r="42" spans="1:14">
      <c r="A42" s="18"/>
      <c r="B42" s="19"/>
      <c r="D42" s="20"/>
      <c r="E42" s="21"/>
    </row>
    <row r="43" spans="1:14">
      <c r="A43" s="18"/>
      <c r="B43" s="19"/>
      <c r="D43" s="20"/>
      <c r="E43" s="21"/>
    </row>
    <row r="44" spans="1:14">
      <c r="A44" s="18"/>
      <c r="B44" s="19"/>
      <c r="D44" s="20"/>
      <c r="E44" s="21"/>
    </row>
    <row r="45" spans="1:14">
      <c r="A45" s="18"/>
      <c r="B45" s="19"/>
      <c r="D45" s="20"/>
      <c r="E45" s="21"/>
    </row>
    <row r="46" spans="1:14">
      <c r="A46" s="18"/>
      <c r="B46" s="19"/>
      <c r="D46" s="20"/>
      <c r="E46" s="21"/>
    </row>
    <row r="47" spans="1:14">
      <c r="A47" s="18"/>
      <c r="B47" s="19"/>
      <c r="D47" s="20"/>
      <c r="E47" s="21"/>
    </row>
    <row r="48" spans="1:14">
      <c r="A48" s="18"/>
      <c r="B48" s="19"/>
      <c r="D48" s="20"/>
      <c r="E48" s="21"/>
    </row>
    <row r="49" spans="1:8">
      <c r="A49" s="18"/>
      <c r="B49" s="19"/>
      <c r="D49" s="20"/>
      <c r="E49" s="21"/>
    </row>
    <row r="50" spans="1:8">
      <c r="A50" s="18"/>
      <c r="B50" s="19"/>
      <c r="D50" s="20"/>
      <c r="E50" s="21"/>
    </row>
    <row r="51" spans="1:8">
      <c r="A51" s="18"/>
      <c r="B51" s="19"/>
      <c r="D51" s="20"/>
      <c r="E51" s="21"/>
    </row>
    <row r="52" spans="1:8">
      <c r="A52" s="18"/>
      <c r="B52" s="19"/>
      <c r="D52" s="20"/>
      <c r="E52" s="21"/>
    </row>
    <row r="53" spans="1:8">
      <c r="A53" s="22"/>
      <c r="B53" s="19"/>
      <c r="D53" s="20"/>
      <c r="E53" s="21"/>
      <c r="F53" s="23"/>
      <c r="G53" s="23"/>
      <c r="H53" s="24"/>
    </row>
    <row r="54" spans="1:8">
      <c r="A54" s="22"/>
      <c r="B54" s="19"/>
      <c r="D54" s="20"/>
      <c r="E54" s="21"/>
      <c r="F54" s="23"/>
      <c r="G54" s="23"/>
      <c r="H54" s="24"/>
    </row>
    <row r="55" spans="1:8">
      <c r="A55" s="18"/>
      <c r="B55" s="19"/>
      <c r="D55" s="20"/>
      <c r="E55" s="21"/>
    </row>
    <row r="56" spans="1:8">
      <c r="A56" s="18"/>
      <c r="B56" s="19"/>
      <c r="D56" s="20"/>
      <c r="E56" s="21"/>
    </row>
    <row r="57" spans="1:8">
      <c r="A57" s="18"/>
      <c r="B57" s="19"/>
      <c r="D57" s="20"/>
      <c r="E57" s="21"/>
    </row>
    <row r="58" spans="1:8">
      <c r="A58" s="18"/>
      <c r="B58" s="19"/>
      <c r="D58" s="20"/>
      <c r="E58" s="21"/>
    </row>
    <row r="59" spans="1:8">
      <c r="A59" s="18"/>
      <c r="B59" s="19"/>
      <c r="D59" s="20"/>
      <c r="E59" s="21"/>
    </row>
    <row r="60" spans="1:8">
      <c r="A60" s="18"/>
      <c r="B60" s="19"/>
      <c r="D60" s="20"/>
      <c r="E60" s="21"/>
    </row>
    <row r="61" spans="1:8">
      <c r="A61" s="18"/>
      <c r="B61" s="19"/>
      <c r="D61" s="20"/>
      <c r="E61" s="21"/>
    </row>
    <row r="62" spans="1:8">
      <c r="A62" s="18"/>
      <c r="B62" s="19"/>
      <c r="D62" s="20"/>
      <c r="E62" s="21"/>
    </row>
    <row r="63" spans="1:8">
      <c r="A63" s="18"/>
      <c r="B63" s="19"/>
      <c r="D63" s="20"/>
      <c r="E63" s="21"/>
    </row>
    <row r="64" spans="1:8">
      <c r="A64" s="18"/>
      <c r="B64" s="19"/>
      <c r="D64" s="20"/>
      <c r="E64" s="21"/>
    </row>
    <row r="65" spans="1:5">
      <c r="A65" s="18"/>
      <c r="B65" s="19"/>
      <c r="D65" s="20"/>
      <c r="E65" s="21"/>
    </row>
    <row r="66" spans="1:5">
      <c r="A66" s="18"/>
      <c r="B66" s="19"/>
      <c r="D66" s="20"/>
      <c r="E66" s="21"/>
    </row>
    <row r="67" spans="1:5">
      <c r="A67" s="18"/>
      <c r="B67" s="19"/>
      <c r="D67" s="20"/>
      <c r="E67" s="21"/>
    </row>
    <row r="68" spans="1:5">
      <c r="A68" s="18"/>
      <c r="B68" s="19"/>
      <c r="D68" s="20"/>
      <c r="E68" s="21"/>
    </row>
    <row r="69" spans="1:5">
      <c r="A69" s="18"/>
      <c r="B69" s="19"/>
      <c r="D69" s="20"/>
      <c r="E69" s="21"/>
    </row>
    <row r="70" spans="1:5">
      <c r="A70" s="18"/>
      <c r="B70" s="19"/>
      <c r="D70" s="20"/>
      <c r="E70" s="21"/>
    </row>
    <row r="71" spans="1:5">
      <c r="A71" s="18"/>
      <c r="B71" s="19"/>
      <c r="D71" s="20"/>
      <c r="E71" s="21"/>
    </row>
    <row r="72" spans="1:5">
      <c r="A72" s="18"/>
      <c r="B72" s="19"/>
      <c r="D72" s="20"/>
      <c r="E72" s="21"/>
    </row>
    <row r="73" spans="1:5">
      <c r="A73" s="18"/>
      <c r="B73" s="19"/>
      <c r="D73" s="20"/>
      <c r="E73" s="21"/>
    </row>
    <row r="74" spans="1:5">
      <c r="A74" s="18"/>
      <c r="B74" s="19"/>
      <c r="D74" s="20"/>
      <c r="E74" s="21"/>
    </row>
    <row r="76" spans="1:5">
      <c r="A76" s="17"/>
    </row>
    <row r="77" spans="1:5">
      <c r="A77" s="17"/>
    </row>
    <row r="78" spans="1:5">
      <c r="A78" s="17"/>
    </row>
    <row r="79" spans="1:5">
      <c r="A79" s="17"/>
    </row>
    <row r="80" spans="1:5">
      <c r="A80" s="17"/>
    </row>
    <row r="81" spans="1:1">
      <c r="A81" s="17"/>
    </row>
    <row r="82" spans="1:1">
      <c r="A82" s="17"/>
    </row>
    <row r="83" spans="1:1">
      <c r="A83" s="17"/>
    </row>
    <row r="84" spans="1:1">
      <c r="A84" s="17"/>
    </row>
    <row r="85" spans="1:1">
      <c r="A85" s="17"/>
    </row>
    <row r="86" spans="1:1">
      <c r="A86" s="17"/>
    </row>
    <row r="87" spans="1:1">
      <c r="A87" s="17"/>
    </row>
    <row r="88" spans="1:1">
      <c r="A88" s="17"/>
    </row>
    <row r="89" spans="1:1">
      <c r="A89" s="17"/>
    </row>
    <row r="90" spans="1:1">
      <c r="A90" s="17"/>
    </row>
    <row r="91" spans="1:1">
      <c r="A91" s="17"/>
    </row>
    <row r="92" spans="1:1">
      <c r="A92" s="17"/>
    </row>
    <row r="93" spans="1:1">
      <c r="A93" s="17"/>
    </row>
    <row r="94" spans="1:1">
      <c r="A94" s="17"/>
    </row>
    <row r="95" spans="1:1">
      <c r="A95" s="17"/>
    </row>
    <row r="96" spans="1:1">
      <c r="A96" s="17"/>
    </row>
    <row r="97" spans="1:2">
      <c r="A97" s="17"/>
    </row>
    <row r="98" spans="1:2">
      <c r="A98" s="17"/>
    </row>
    <row r="99" spans="1:2">
      <c r="A99" s="17"/>
    </row>
    <row r="100" spans="1:2">
      <c r="A100" s="17"/>
    </row>
    <row r="101" spans="1:2">
      <c r="A101" s="17"/>
    </row>
    <row r="102" spans="1:2">
      <c r="A102" s="17"/>
      <c r="B102" s="4"/>
    </row>
    <row r="103" spans="1:2">
      <c r="A103" s="17"/>
    </row>
    <row r="104" spans="1:2">
      <c r="A104" s="17"/>
    </row>
    <row r="105" spans="1:2">
      <c r="A105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GPT</vt:lpstr>
      <vt:lpstr>Perplexity</vt:lpstr>
      <vt:lpstr>熟练度</vt:lpstr>
      <vt:lpstr>satisfaction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吕沨绚</cp:lastModifiedBy>
  <dcterms:created xsi:type="dcterms:W3CDTF">2025-10-17T11:01:00Z</dcterms:created>
  <dcterms:modified xsi:type="dcterms:W3CDTF">2026-04-22T00:54:05Z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5103983B25F74E33A21D1B1331E7E10F_13</vt:lpwstr>
  </property>
  <property fmtid="{D5CDD505-2E9C-101B-9397-08002B2CF9AE}" pid="3" name="KSOProductBuildVer">
    <vt:lpwstr>2052-12.1.0.23542</vt:lpwstr>
  </property>
</Properties>
</file>